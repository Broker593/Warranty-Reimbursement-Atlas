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Summary" sheetId="2" state="visible" r:id="rId4"/>
    <sheet name="Coverage" sheetId="3" state="visible" r:id="rId5"/>
    <sheet name="Audit fields" sheetId="4" state="visible" r:id="rId6"/>
    <sheet name="Rate sample rules" sheetId="5" state="visible" r:id="rId7"/>
    <sheet name="Law dates" sheetId="6" state="visible" r:id="rId8"/>
    <sheet name="Weekly log" sheetId="7" state="visible" r:id="rId9"/>
    <sheet name="News" sheetId="8" state="visible" r:id="rId10"/>
  </sheets>
  <definedNames>
    <definedName function="false" hidden="true" localSheetId="3" name="_xlnm._FilterDatabase" vbProcedure="false">'Audit fields'!$A$1:$AN$51</definedName>
    <definedName function="false" hidden="true" localSheetId="2" name="_xlnm._FilterDatabase" vbProcedure="false">Coverage!$A$1:$L$201</definedName>
    <definedName function="false" hidden="true" localSheetId="5" name="_xlnm._FilterDatabase" vbProcedure="false">'Law dates'!$A$1:$M$51</definedName>
    <definedName function="false" hidden="true" localSheetId="7" name="_xlnm._FilterDatabase" vbProcedure="false">News!$A$1:$I$4</definedName>
    <definedName function="false" hidden="true" localSheetId="4" name="_xlnm._FilterDatabase" vbProcedure="false">'Rate sample rules'!$A$1:$L$51</definedName>
    <definedName function="false" hidden="true" localSheetId="1" name="_xlnm._FilterDatabase" vbProcedure="false">Summary!$A$1:$R$51</definedName>
    <definedName function="false" hidden="true" localSheetId="6" name="_xlnm._FilterDatabase" vbProcedure="false">'Weekly log'!$A$1:$J$10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<sst xmlns="http://schemas.openxmlformats.org/spreadsheetml/2006/main" count="5388" uniqueCount="2162">
  <si>
    <t xml:space="preserve">Warranty Atlas · workpaper export</t>
  </si>
  <si>
    <t xml:space="preserve">Built 2026-09-25 from the live Atlas data files.</t>
  </si>
  <si>
    <t xml:space="preserve">What is in this workbook</t>
  </si>
  <si>
    <t xml:space="preserve">Summary: one row per state with coverage status, key audit fields, law dates and last-verified date. Count formulas at the right.</t>
  </si>
  <si>
    <t xml:space="preserve">Coverage: 200 rows (50 states x 4 coverage types) with statute quotes and pinpoint cites.</t>
  </si>
  <si>
    <t xml:space="preserve">Audit fields: claim deadlines, chargeback windows, rate submission, manufacturer response and challenge, penalties, with quotes.</t>
  </si>
  <si>
    <t xml:space="preserve">Rate sample rules: each state's retail-rate sample, RO age limit and exclusions.</t>
  </si>
  <si>
    <t xml:space="preserve">Law dates: last amendment, amending act, original enactment, next scheduled change.</t>
  </si>
  <si>
    <t xml:space="preserve">Weekly log and News: the Weekly checks and News tabs.</t>
  </si>
  <si>
    <t xml:space="preserve">How to read it</t>
  </si>
  <si>
    <t xml:space="preserve">"Silent" / "Not addressed" means the reviewed statute says nothing. Contracts, regulations or other law may still apply.</t>
  </si>
  <si>
    <t xml:space="preserve">"Conditional" coverage usually turns on who the legal obligor is, or whether the manufacturer pays for the work. Program branding does not establish the obligor.</t>
  </si>
  <si>
    <t xml:space="preserve">Rhode Island: enacted changes take effect 10/1/2026. Cells show the rule in force on the build date and name the upcoming change.</t>
  </si>
  <si>
    <t xml:space="preserve">Limits</t>
  </si>
  <si>
    <t xml:space="preserve">Public-source research summary for audit planning. It is not legal advice and does not contain SOA-approved rates or dealer payment data. Confirm against the cited statute before relying on a specific rule; escalate disputes to Legal.</t>
  </si>
  <si>
    <t xml:space="preserve">Sources: official legislature/revisor text unless the record says enrolled act or mirror. Quotes were machine-checked against saved source text during research.</t>
  </si>
  <si>
    <t xml:space="preserve">State</t>
  </si>
  <si>
    <t xml:space="preserve">Name</t>
  </si>
  <si>
    <t xml:space="preserve">Factory paid hours</t>
  </si>
  <si>
    <t xml:space="preserve">Mfr service contract</t>
  </si>
  <si>
    <t xml:space="preserve">CPO</t>
  </si>
  <si>
    <t xml:space="preserve">Independent SC</t>
  </si>
  <si>
    <t xml:space="preserve">Claim decision (days)</t>
  </si>
  <si>
    <t xml:space="preserve">Late claim deemed approved</t>
  </si>
  <si>
    <t xml:space="preserve">Payment (days)</t>
  </si>
  <si>
    <t xml:space="preserve">Chargeback window (months)</t>
  </si>
  <si>
    <t xml:space="preserve">Rate resubmission</t>
  </si>
  <si>
    <t xml:space="preserve">Rate sample</t>
  </si>
  <si>
    <t xml:space="preserve">Mfr response (days)</t>
  </si>
  <si>
    <t xml:space="preserve">No response = approved</t>
  </si>
  <si>
    <t xml:space="preserve">Law last amended</t>
  </si>
  <si>
    <t xml:space="preserve">Next scheduled change</t>
  </si>
  <si>
    <t xml:space="preserve">Last verified</t>
  </si>
  <si>
    <t xml:space="preserve">Confidence</t>
  </si>
  <si>
    <t xml:space="preserve">Counts</t>
  </si>
  <si>
    <t xml:space="preserve">AK</t>
  </si>
  <si>
    <t xml:space="preserve">Alaska</t>
  </si>
  <si>
    <t xml:space="preserve">Independent/retail time guide</t>
  </si>
  <si>
    <t xml:space="preserve">Not reached</t>
  </si>
  <si>
    <t xml:space="preserve">Not addressed</t>
  </si>
  <si>
    <t xml:space="preserve">Yes</t>
  </si>
  <si>
    <t xml:space="preserve">not more than one rate increase in a calendar year</t>
  </si>
  <si>
    <t xml:space="preserve">No statutory labor-rate sample</t>
  </si>
  <si>
    <t xml:space="preserve">2024 (eff. 2024-10-27)</t>
  </si>
  <si>
    <t xml:space="preserve">2026-09-25</t>
  </si>
  <si>
    <t xml:space="preserve">high</t>
  </si>
  <si>
    <t xml:space="preserve">Mfr SC Required</t>
  </si>
  <si>
    <t xml:space="preserve">AL</t>
  </si>
  <si>
    <t xml:space="preserve">Alabama</t>
  </si>
  <si>
    <t xml:space="preserve">Factory time (reasonable/adequate standard where stated)</t>
  </si>
  <si>
    <t xml:space="preserve">Required</t>
  </si>
  <si>
    <t xml:space="preserve">not more frequently than once per 12-month period</t>
  </si>
  <si>
    <t xml:space="preserve">100 ROs or 90 days (fewer of the two samples); ROs &lt;= 180 days old</t>
  </si>
  <si>
    <t xml:space="preserve">2022 (eff. 2022-06-01)</t>
  </si>
  <si>
    <t xml:space="preserve">Mfr SC Conditional</t>
  </si>
  <si>
    <t xml:space="preserve">AR</t>
  </si>
  <si>
    <t xml:space="preserve">Arkansas</t>
  </si>
  <si>
    <t xml:space="preserve">Silent</t>
  </si>
  <si>
    <t xml:space="preserve">2023 (eff. 2023-08-01)</t>
  </si>
  <si>
    <t xml:space="preserve">medium</t>
  </si>
  <si>
    <t xml:space="preserve">CPO Required</t>
  </si>
  <si>
    <t xml:space="preserve">AZ</t>
  </si>
  <si>
    <t xml:space="preserve">Arizona</t>
  </si>
  <si>
    <t xml:space="preserve">not more than once in any twelve-month period</t>
  </si>
  <si>
    <t xml:space="preserve">2024 (eff. 2024-09-14)</t>
  </si>
  <si>
    <t xml:space="preserve">CPO Conditional</t>
  </si>
  <si>
    <t xml:space="preserve">CA</t>
  </si>
  <si>
    <t xml:space="preserve">California</t>
  </si>
  <si>
    <t xml:space="preserve">no more frequently than once per calendar year</t>
  </si>
  <si>
    <t xml:space="preserve">2019 (eff. 2020-01-01)</t>
  </si>
  <si>
    <t xml:space="preserve">Indep SC Conditional</t>
  </si>
  <si>
    <t xml:space="preserve">CO</t>
  </si>
  <si>
    <t xml:space="preserve">Colorado</t>
  </si>
  <si>
    <t xml:space="preserve">increase requests not more often than once annually (labor and parts each)</t>
  </si>
  <si>
    <t xml:space="preserve">100 ROs or 90 days (dealer chooses); ROs &lt;= 90 days old</t>
  </si>
  <si>
    <t xml:space="preserve">2023 (eff. 2023-08-07)</t>
  </si>
  <si>
    <t xml:space="preserve">Late claims deemed approved</t>
  </si>
  <si>
    <t xml:space="preserve">CT</t>
  </si>
  <si>
    <t xml:space="preserve">Connecticut</t>
  </si>
  <si>
    <t xml:space="preserve">not more than twice in one calendar year</t>
  </si>
  <si>
    <t xml:space="preserve">All qualifying ROs, prior calendar month</t>
  </si>
  <si>
    <t xml:space="preserve">2015 (eff. 2015-10-01)</t>
  </si>
  <si>
    <t xml:space="preserve">2026-10-01 P.A. 26-24 (sSB 413), § 23 (approved May 27, 2026)</t>
  </si>
  <si>
    <t xml:space="preserve">Chargeback window 12 months</t>
  </si>
  <si>
    <t xml:space="preserve">DE</t>
  </si>
  <si>
    <t xml:space="preserve">Delaware</t>
  </si>
  <si>
    <t xml:space="preserve">not more than once every 9 months</t>
  </si>
  <si>
    <t xml:space="preserve">2024 (eff. 2024-08-29)</t>
  </si>
  <si>
    <t xml:space="preserve">Chargeback window under 12 months</t>
  </si>
  <si>
    <t xml:space="preserve">FL</t>
  </si>
  <si>
    <t xml:space="preserve">Florida</t>
  </si>
  <si>
    <t xml:space="preserve">Conditional</t>
  </si>
  <si>
    <t xml:space="preserve">written requests for changes not more than semiannually</t>
  </si>
  <si>
    <t xml:space="preserve">2009 (eff. 2009-05-28)</t>
  </si>
  <si>
    <t xml:space="preserve">GA</t>
  </si>
  <si>
    <t xml:space="preserve">Georgia</t>
  </si>
  <si>
    <t xml:space="preserve">no dealer shall declare a retail rate for parts or labor or both more than once in one calendar year</t>
  </si>
  <si>
    <t xml:space="preserve">2025 (eff. 2025-07-01)</t>
  </si>
  <si>
    <t xml:space="preserve">States with a scheduled change</t>
  </si>
  <si>
    <t xml:space="preserve">HI</t>
  </si>
  <si>
    <t xml:space="preserve">Hawaii</t>
  </si>
  <si>
    <t xml:space="preserve">Statute silent on time / not established</t>
  </si>
  <si>
    <t xml:space="preserve">2012 (eff. 2012-07-06)</t>
  </si>
  <si>
    <t xml:space="preserve">IA</t>
  </si>
  <si>
    <t xml:space="preserve">Iowa</t>
  </si>
  <si>
    <t xml:space="preserve">Once in any one-year period</t>
  </si>
  <si>
    <t xml:space="preserve">2023 (eff. 2023-07-01)</t>
  </si>
  <si>
    <t xml:space="preserve">ID</t>
  </si>
  <si>
    <t xml:space="preserve">Idaho</t>
  </si>
  <si>
    <t xml:space="preserve">Once every 12 months</t>
  </si>
  <si>
    <t xml:space="preserve">2011 (eff. 2011-07-01)</t>
  </si>
  <si>
    <t xml:space="preserve">IL</t>
  </si>
  <si>
    <t xml:space="preserve">Illinois</t>
  </si>
  <si>
    <t xml:space="preserve">OEM time x multiplier</t>
  </si>
  <si>
    <t xml:space="preserve">Requests for warranty labor-rate increases at most once per calendar year</t>
  </si>
  <si>
    <t xml:space="preserve">100 ROs (RO count only)</t>
  </si>
  <si>
    <t xml:space="preserve">2021 (eff. 2022-01-01)</t>
  </si>
  <si>
    <t xml:space="preserve">IN</t>
  </si>
  <si>
    <t xml:space="preserve">Indiana</t>
  </si>
  <si>
    <t xml:space="preserve">One declaration of the parts markup or labor rate per 12-month period; the dealer may revert to the nonretail rate at most once per 12 months</t>
  </si>
  <si>
    <t xml:space="preserve">100 ROs or 90 days (dealer chooses); ROs &lt;= 180 days old</t>
  </si>
  <si>
    <t xml:space="preserve">KS</t>
  </si>
  <si>
    <t xml:space="preserve">Kansas</t>
  </si>
  <si>
    <t xml:space="preserve">2019 (eff. 2019-07-01)</t>
  </si>
  <si>
    <t xml:space="preserve">KY</t>
  </si>
  <si>
    <t xml:space="preserve">Kentucky</t>
  </si>
  <si>
    <t xml:space="preserve">2026 (eff. 2026-07-15)</t>
  </si>
  <si>
    <t xml:space="preserve">LA</t>
  </si>
  <si>
    <t xml:space="preserve">Louisiana</t>
  </si>
  <si>
    <t xml:space="preserve">Once in a twelve-month period (parts markup, labor rate, or both)</t>
  </si>
  <si>
    <t xml:space="preserve">2021 (eff. 2021-08-01)</t>
  </si>
  <si>
    <t xml:space="preserve">MA</t>
  </si>
  <si>
    <t xml:space="preserve">Massachusetts</t>
  </si>
  <si>
    <t xml:space="preserve">once per calendar year</t>
  </si>
  <si>
    <t xml:space="preserve">100 ROs or 60 days (fewer of the two samples); ROs &lt;= 180 days old</t>
  </si>
  <si>
    <t xml:space="preserve">2012 (eff. 2012-10-16)</t>
  </si>
  <si>
    <t xml:space="preserve">MD</t>
  </si>
  <si>
    <t xml:space="preserve">Maryland</t>
  </si>
  <si>
    <t xml:space="preserve">Not more than once in 1 year; a revision or supplement to correct or clarify is not a new submission</t>
  </si>
  <si>
    <t xml:space="preserve">2020 (eff. 2020-05-08)</t>
  </si>
  <si>
    <t xml:space="preserve">ME</t>
  </si>
  <si>
    <t xml:space="preserve">Maine</t>
  </si>
  <si>
    <t xml:space="preserve">2013</t>
  </si>
  <si>
    <t xml:space="preserve">MI</t>
  </si>
  <si>
    <t xml:space="preserve">Michigan</t>
  </si>
  <si>
    <t xml:space="preserve">2018 (eff. 2019-03-28)</t>
  </si>
  <si>
    <t xml:space="preserve">MN</t>
  </si>
  <si>
    <t xml:space="preserve">Minnesota</t>
  </si>
  <si>
    <t xml:space="preserve">once per year</t>
  </si>
  <si>
    <t xml:space="preserve">2023 (eff. 2023-10-01)</t>
  </si>
  <si>
    <t xml:space="preserve">MO</t>
  </si>
  <si>
    <t xml:space="preserve">Missouri</t>
  </si>
  <si>
    <t xml:space="preserve">twice per calendar year (requests for a different labor rate or parts rate)</t>
  </si>
  <si>
    <t xml:space="preserve">2023 (eff. 2023-08-28)</t>
  </si>
  <si>
    <t xml:space="preserve">MS</t>
  </si>
  <si>
    <t xml:space="preserve">Mississippi</t>
  </si>
  <si>
    <t xml:space="preserve">once per twelve-month period</t>
  </si>
  <si>
    <t xml:space="preserve">2021 (eff. 2021-07-01)</t>
  </si>
  <si>
    <t xml:space="preserve">MT</t>
  </si>
  <si>
    <t xml:space="preserve">Montana</t>
  </si>
  <si>
    <t xml:space="preserve">once per 12-month period</t>
  </si>
  <si>
    <t xml:space="preserve">2025 (eff. 2025-10-01)</t>
  </si>
  <si>
    <t xml:space="preserve">NC</t>
  </si>
  <si>
    <t xml:space="preserve">North Carolina</t>
  </si>
  <si>
    <t xml:space="preserve">ND</t>
  </si>
  <si>
    <t xml:space="preserve">North Dakota</t>
  </si>
  <si>
    <t xml:space="preserve">no demand within 12 months of the last labor-rate declaration (applies to dealer, manufacturer or distributor)</t>
  </si>
  <si>
    <t xml:space="preserve">2025 (eff. 2025-08-01)</t>
  </si>
  <si>
    <t xml:space="preserve">NE</t>
  </si>
  <si>
    <t xml:space="preserve">Nebraska</t>
  </si>
  <si>
    <t xml:space="preserve">2025 (eff. 2025-09-03)</t>
  </si>
  <si>
    <t xml:space="preserve">2026-10-01 Laws 2026, LB 972, § 70 (approved 4/14/2026)</t>
  </si>
  <si>
    <t xml:space="preserve">NH</t>
  </si>
  <si>
    <t xml:space="preserve">New Hampshire</t>
  </si>
  <si>
    <t xml:space="preserve">once per calendar year (average labor rate declaration)</t>
  </si>
  <si>
    <t xml:space="preserve">2013 (eff. 2013-09-23)</t>
  </si>
  <si>
    <t xml:space="preserve">NJ</t>
  </si>
  <si>
    <t xml:space="preserve">New Jersey</t>
  </si>
  <si>
    <t xml:space="preserve">no more than twice per calendar year. The cap is written jointly for requests to change the parts markup, labor time allowance, or retail labor rate.</t>
  </si>
  <si>
    <t xml:space="preserve">2025 (eff. 2026-04-01)</t>
  </si>
  <si>
    <t xml:space="preserve">NM</t>
  </si>
  <si>
    <t xml:space="preserve">New Mexico</t>
  </si>
  <si>
    <t xml:space="preserve">increase granted no more than twice in one calendar year</t>
  </si>
  <si>
    <t xml:space="preserve">2018 (eff. 2018-03-01)</t>
  </si>
  <si>
    <t xml:space="preserve">NV</t>
  </si>
  <si>
    <t xml:space="preserve">Nevada</t>
  </si>
  <si>
    <t xml:space="preserve">2017 (eff. 2017-06-01)</t>
  </si>
  <si>
    <t xml:space="preserve">NY</t>
  </si>
  <si>
    <t xml:space="preserve">New York</t>
  </si>
  <si>
    <t xml:space="preserve">dealer may not request a change more than once each calendar year</t>
  </si>
  <si>
    <t xml:space="preserve">2024 (eff. 2024-09-04)</t>
  </si>
  <si>
    <t xml:space="preserve">OH</t>
  </si>
  <si>
    <t xml:space="preserve">Ohio</t>
  </si>
  <si>
    <t xml:space="preserve">not more than once per calendar year</t>
  </si>
  <si>
    <t xml:space="preserve">2025 (eff. 2025-09-30)</t>
  </si>
  <si>
    <t xml:space="preserve">OK</t>
  </si>
  <si>
    <t xml:space="preserve">Oklahoma</t>
  </si>
  <si>
    <t xml:space="preserve">dealer: once in a 12-month period; manufacturer may require validation ROs not more often than once every 12 months</t>
  </si>
  <si>
    <t xml:space="preserve">2025 (eff. 2025-11-01)</t>
  </si>
  <si>
    <t xml:space="preserve">OR</t>
  </si>
  <si>
    <t xml:space="preserve">Oregon</t>
  </si>
  <si>
    <t xml:space="preserve">Franchises entered or renewed on or after 1/1/2026: 'Not more than once per year' the manufacturer may verify and the dealer may propose an increase. Pre-2026 text: only the manufacturer's verification is limited to once per year.</t>
  </si>
  <si>
    <t xml:space="preserve">2025 (eff. 2026-01-01)</t>
  </si>
  <si>
    <t xml:space="preserve">PA</t>
  </si>
  <si>
    <t xml:space="preserve">Pennsylvania</t>
  </si>
  <si>
    <t xml:space="preserve">no more than once in one calendar year</t>
  </si>
  <si>
    <t xml:space="preserve">2018 (eff. 2019-10-24)</t>
  </si>
  <si>
    <t xml:space="preserve">RI</t>
  </si>
  <si>
    <t xml:space="preserve">Rhode Island</t>
  </si>
  <si>
    <t xml:space="preserve">no more than twice in one calendar year</t>
  </si>
  <si>
    <t xml:space="preserve">2018 (eff. 2018-07-02)</t>
  </si>
  <si>
    <t xml:space="preserve">2026-10-01 P.L. 2026, ch. 180 (S 2347 Sub A) and ch. 179 (H 8213 Sub A), enacted 6/22/2026</t>
  </si>
  <si>
    <t xml:space="preserve">SC</t>
  </si>
  <si>
    <t xml:space="preserve">South Carolina</t>
  </si>
  <si>
    <t xml:space="preserve">not more than once in any 12-month period</t>
  </si>
  <si>
    <t xml:space="preserve">2021 (eff. 2021-08-04)</t>
  </si>
  <si>
    <t xml:space="preserve">SD</t>
  </si>
  <si>
    <t xml:space="preserve">South Dakota</t>
  </si>
  <si>
    <t xml:space="preserve">TN</t>
  </si>
  <si>
    <t xml:space="preserve">Tennessee</t>
  </si>
  <si>
    <t xml:space="preserve">TX</t>
  </si>
  <si>
    <t xml:space="preserve">Texas</t>
  </si>
  <si>
    <t xml:space="preserve">Once a year, except by agreement of the parties</t>
  </si>
  <si>
    <t xml:space="preserve">100 ROs or 90 days (sample with the higher rate); ROs &lt;= 180 days old</t>
  </si>
  <si>
    <t xml:space="preserve">No</t>
  </si>
  <si>
    <t xml:space="preserve">2001 (eff. 2003-06-01)</t>
  </si>
  <si>
    <t xml:space="preserve">UT</t>
  </si>
  <si>
    <t xml:space="preserve">Utah</t>
  </si>
  <si>
    <t xml:space="preserve">Once in a 12-month period (labor rate and parts markup each)</t>
  </si>
  <si>
    <t xml:space="preserve">2023 (eff. 2023-05-03)</t>
  </si>
  <si>
    <t xml:space="preserve">VA</t>
  </si>
  <si>
    <t xml:space="preserve">Virginia</t>
  </si>
  <si>
    <t xml:space="preserve">100 ROs or 90 days (fewer of the two samples)</t>
  </si>
  <si>
    <t xml:space="preserve">VT</t>
  </si>
  <si>
    <t xml:space="preserve">Vermont</t>
  </si>
  <si>
    <t xml:space="preserve">2021 (eff. 2021-06-07)</t>
  </si>
  <si>
    <t xml:space="preserve">WA</t>
  </si>
  <si>
    <t xml:space="preserve">Washington</t>
  </si>
  <si>
    <t xml:space="preserve">One increase per calendar year (labor/diagnostic rate and parts markup each)</t>
  </si>
  <si>
    <t xml:space="preserve">2014 (eff. 2014-06-12)</t>
  </si>
  <si>
    <t xml:space="preserve">WI</t>
  </si>
  <si>
    <t xml:space="preserve">Wisconsin</t>
  </si>
  <si>
    <t xml:space="preserve">Negotiated/other</t>
  </si>
  <si>
    <t xml:space="preserve">100 ROs or 90 days (fewer of the two samples); ROs &lt;= 180 days old; OEM-hour denominator</t>
  </si>
  <si>
    <t xml:space="preserve">2018 (eff. 2018-04-05)</t>
  </si>
  <si>
    <t xml:space="preserve">WV</t>
  </si>
  <si>
    <t xml:space="preserve">West Virginia</t>
  </si>
  <si>
    <t xml:space="preserve">Demand (by dealer or manufacturer) not within 12 months of the last labor-rate declaration</t>
  </si>
  <si>
    <t xml:space="preserve">2024 (eff. 2024-06-05)</t>
  </si>
  <si>
    <t xml:space="preserve">WY</t>
  </si>
  <si>
    <t xml:space="preserve">Wyoming</t>
  </si>
  <si>
    <t xml:space="preserve">Once every 12 months unless by mutual agreement</t>
  </si>
  <si>
    <t xml:space="preserve">Coverage type</t>
  </si>
  <si>
    <t xml:space="preserve">Status</t>
  </si>
  <si>
    <t xml:space="preserve">Paid hours</t>
  </si>
  <si>
    <t xml:space="preserve">Date note</t>
  </si>
  <si>
    <t xml:space="preserve">Hourly rate method (factory)</t>
  </si>
  <si>
    <t xml:space="preserve">Statute quote</t>
  </si>
  <si>
    <t xml:space="preserve">Pinpoint</t>
  </si>
  <si>
    <t xml:space="preserve">Primary cite</t>
  </si>
  <si>
    <t xml:space="preserve">Source type</t>
  </si>
  <si>
    <t xml:space="preserve">Official URL</t>
  </si>
  <si>
    <t xml:space="preserve">Factory warranty</t>
  </si>
  <si>
    <t xml:space="preserve">Unless otherwise agreed, the rate may not be less than the rate the dealer charges retail customers for similar nonwarranty service work. The statute sets no labor-rate sample or formula (the 100-RO/90-day method in (d) covers parts markup only). The manufacturer may disapprove only if the rate is materially miscalculated or unreasonable compared with similarly situated AK dealers. ≤1 rate increase per calendar year.</t>
  </si>
  <si>
    <t xml:space="preserve">Unless otherwise agreed to by the manufacturer and the new motor vehicle dealer, the schedule of compensation may not contain ... (2) time allowances less than time allowances provided in independent labor time guides.</t>
  </si>
  <si>
    <t xml:space="preserve">§ 45.25.210(c)(2)</t>
  </si>
  <si>
    <t xml:space="preserve">Alaska Stat. § 45.25.210 (see also § 45.25.200)</t>
  </si>
  <si>
    <t xml:space="preserve">official</t>
  </si>
  <si>
    <t xml:space="preserve">https://www.akleg.gov/basis/statutes.asp?media=print&amp;secStart=45.25.010&amp;secEnd=45.25.990</t>
  </si>
  <si>
    <t xml:space="preserve">Mfr-backed service contract</t>
  </si>
  <si>
    <t xml:space="preserve">-</t>
  </si>
  <si>
    <t xml:space="preserve">"warranty work" (A) means repairs that are covered under a manufacturer's warranty or a recall; ... (C) does not mean work under a separate service contract.</t>
  </si>
  <si>
    <t xml:space="preserve">§ 45.25.990(23)(A), (C)</t>
  </si>
  <si>
    <t xml:space="preserve">CPO warranty</t>
  </si>
  <si>
    <t xml:space="preserve">(A) means repairs that are covered under a manufacturer's warranty or a recall;</t>
  </si>
  <si>
    <t xml:space="preserve">§ 45.25.990(23)(A)</t>
  </si>
  <si>
    <t xml:space="preserve">Independent service contract</t>
  </si>
  <si>
    <t xml:space="preserve">§ 45.25.990(23)(C)</t>
  </si>
  <si>
    <t xml:space="preserve">Floor = dealer's retail rate for like nonwarranty service (if not unreasonable); at dealer's election, set from 100 sequential qualified-repair ROs or all ROs in 90 consecutive days (whichever fewer), ≤180 days old: total labor charges ÷ hours; effective 45 days after receipt unless rebutted; ≤1x per 12 months.</t>
  </si>
  <si>
    <t xml:space="preserve">Time allowances for the diagnosis and performance of warranty work and service shall be reasonable and adequate for the work to be performed.</t>
  </si>
  <si>
    <t xml:space="preserve">§ 8-20-7(c); see (b) (warrantor supplies 'the time allowance')</t>
  </si>
  <si>
    <t xml:space="preserve">Ala. Code § 8-20-7</t>
  </si>
  <si>
    <t xml:space="preserve">https://alison.legislature.state.al.us/code-of-alabama?section=8-20-7</t>
  </si>
  <si>
    <t xml:space="preserve">in fulfilling a warrantor’s obligations under a new motor vehicle warranty, a recall, or a certified pre-owned warranty, to consumers</t>
  </si>
  <si>
    <t xml:space="preserve">§ 8-20-7(a)(6)</t>
  </si>
  <si>
    <t xml:space="preserve">Not less than the dealer's retail labor rate per hour, provided it is reasonable vs same line-make dealers in the relevant/competitive market area. Rate = total labor sales ÷ labor hours from qualified customer-pay ROs (excluding routine maintenance), from the lesser of 100 sequential ROs (≤180 days old) or a 90-day look-back. Change requests are deemed approved if not acted on within 45 days.</t>
  </si>
  <si>
    <t xml:space="preserve">Time allowances for the diagnosis and performance of warranty or recall campaign work and service shall be reasonable and adequate for the work to be performed.</t>
  </si>
  <si>
    <t xml:space="preserve">§ 23-112-313(c)(1)</t>
  </si>
  <si>
    <t xml:space="preserve">Ark. Code Ann. § 23-112-313 (with § 23-112-310(d))</t>
  </si>
  <si>
    <t xml:space="preserve">mirror</t>
  </si>
  <si>
    <t xml:space="preserve">Mirror read: https://law.justia.com/codes/arkansas/title-23/subtitle-4/chapter-112/subchapter-3/section-23-112-313/ (2025 code). Official portal: Arkansas Code via arkleg.state.ar.us (LexisNexis-hosted). Enrolled Act 515 of 2023 read at arkleg.state.ar.us.</t>
  </si>
  <si>
    <t xml:space="preserve">shall properly fulfill any warranty or recall campaign agreements and adequately and fairly compensate each of its motor vehicle dealers for labor and parts.</t>
  </si>
  <si>
    <t xml:space="preserve">§ 23-112-313(a)</t>
  </si>
  <si>
    <t xml:space="preserve">Must be 'fair and reasonable'. At the dealer's option, the dealer declares a retail labor rate from the lesser of 100 sequential nonwarranty customer-paid ROs or 90 consecutive days of customer-paid ROs for warranty-like repairs (≤180 days old): total labor sales ÷ labor hours. The rate is presumed fair and takes effect in 30 days unless rebutted vs similarly situated same line-make AZ dealers; dealer can protest to the director. ≤1 declaration per 12 months.</t>
  </si>
  <si>
    <t xml:space="preserve">Time allowances for the diagnosis and performance of warranty work and service shall be reasonable and adequate for the work or services to be performed.</t>
  </si>
  <si>
    <t xml:space="preserve">§ 28-4451(D)</t>
  </si>
  <si>
    <t xml:space="preserve">A.R.S. § 28-4451(C)–(F), (K)</t>
  </si>
  <si>
    <t xml:space="preserve">https://www.azleg.gov/ars/28/04451.htm</t>
  </si>
  <si>
    <t xml:space="preserve">The manufacturer or distributor shall compensate an authorized new motor vehicle dealer who performs work to rectify the manufacturer's or distributor's warranty obligations, recall obligations or delivery and preparation obligations.</t>
  </si>
  <si>
    <t xml:space="preserve">§ 28-4451(C)</t>
  </si>
  <si>
    <t xml:space="preserve">Retail labor rate from the fewer of any 100 consecutive qualified ROs or all ROs in a 90-consecutive-day period (≤180 days old): total labor charges ÷ hours. Takes effect on the 30th day unless the franchisor contests it as materially inaccurate or fraudulent. ≤1x per calendar year. A voluntary signed agreement for other rates is allowed if it 'adequately and fairly compensates'.</t>
  </si>
  <si>
    <t xml:space="preserve">The franchisor shall use time allowances for the diagnosis and performance of work and service that are reasonable and adequate for a qualified technician to perform the work or services.</t>
  </si>
  <si>
    <t xml:space="preserve">§ 3065(a)(1)</t>
  </si>
  <si>
    <t xml:space="preserve">Cal. Veh. Code §§ 3065, 3065.2</t>
  </si>
  <si>
    <t xml:space="preserve">https://leginfo.legislature.ca.gov/faces/codes_displaySection.xhtml?lawCode=VEH&amp;sectionNum=3065</t>
  </si>
  <si>
    <t xml:space="preserve">“Warranty” includes a new vehicle warranty, a certified preowned warranty, a repair pursuant to a technical service bulletin on a vehicle covered under the period of warranty ...</t>
  </si>
  <si>
    <t xml:space="preserve">§ 3065.25(b)</t>
  </si>
  <si>
    <t xml:space="preserve">“Warranty” includes a new vehicle warranty, a certified preowned warranty</t>
  </si>
  <si>
    <t xml:space="preserve">At the dealer's request, the retail labor rate: the dealer's choice of 100 sequential nonwarranty ROs or all nonwarranty ROs over 90 consecutive days (from the last 90 days); nonwarranty labor sales ÷ hours. Effective 45 days after submission unless contested as materially inaccurate; court or executive-director determination, retroactive. ≤1 increase request per year.</t>
  </si>
  <si>
    <t xml:space="preserve">Shall not establish an unreasonable flat-rate time, nor establish unreasonable flat-rate labor times for new line-makes that are inconsistent with the existing rates</t>
  </si>
  <si>
    <t xml:space="preserve">§ 44-20-141.5(7)(a)</t>
  </si>
  <si>
    <t xml:space="preserve">C.R.S. § 44-20-141.5</t>
  </si>
  <si>
    <t xml:space="preserve">Mirror read: https://law.justia.com/codes/colorado/title-44/automobiles/article-20/part-1/section-44-20-141-5/ (2025 C.R.S.). Official: enrolled SB 23-078 at https://content.leg.colorado.gov/sites/default/files/2023a_078_signed.pdf; official C.R.S. portal via leg.colorado.gov (LexisNexis-hosted).</t>
  </si>
  <si>
    <t xml:space="preserve">“Warranty obligation” means diagnosing and repairing a motor vehicle in accordance with any warranty, recall, or certified preowned warranty, under which a manufacturer makes a repair commitment to a consumer or motor vehicle dealer.</t>
  </si>
  <si>
    <t xml:space="preserve">§ 44-20-141.5(1)(g)</t>
  </si>
  <si>
    <t xml:space="preserve">Retail rate: all nonwarranty customer-paid ROs from the month before submission; total labor sales ÷ labor hours. Presumed fair unless rebutted within 30 days vs other same line-make dealers 'in the vicinity'; effective 30 days after declaration; protest to the DMV Commissioner; ≤2 declarations per calendar year.</t>
  </si>
  <si>
    <t xml:space="preserve">§ 42-133s(h)</t>
  </si>
  <si>
    <t xml:space="preserve">Conn. Gen. Stat. § 42-133s</t>
  </si>
  <si>
    <t xml:space="preserve">https://www.cga.ct.gov/current/pub/chap_739.htm (2025 revision; 2026 Supplement lists no ch. 739 changes); PA 26-24: https://www.cga.ct.gov/2026/ACT/PA/PDF/2026PA-00024-R00SB-00413-PA.PDF</t>
  </si>
  <si>
    <t xml:space="preserve">the dealer's obligations for predelivery preparation and warranty service on its products, and shall compensate the dealer for such preparation and service.</t>
  </si>
  <si>
    <t xml:space="preserve">§ 42-133s(a)</t>
  </si>
  <si>
    <t xml:space="preserve">Not less than the dealer's rate to nonwarranty customers for like services. Declared from 100 sequential customer-paid ROs or 90 days of customer-paid ROs (whichever less), covering like repairs ≤180 days old. No arithmetic formula in the text. Presumed fair; effective within 30 days (clock restarts after reasonably requested information); ≤1 change per 9 months; Public Service Commission protest with burden on the manufacturer.</t>
  </si>
  <si>
    <t xml:space="preserve">§ 4903(b); see (a)(1)c.</t>
  </si>
  <si>
    <t xml:space="preserve">6 Del. C. § 4903</t>
  </si>
  <si>
    <t xml:space="preserve">https://delcode.delaware.gov/title6/c049/index.html; session law: https://legis.delaware.gov/SessionLaws?volume=84&amp;chapter=389</t>
  </si>
  <si>
    <t xml:space="preserve">With respect to manufacturer-sponsored maintenance programs, manufacturer extended warranty, certified pre-owned warranty, manufacturer-issued service contracts, parts exchange programs, recall and warranty parts and labor reimbursement, reasonable compensation shall not be less than the rate charged by such dealer</t>
  </si>
  <si>
    <t xml:space="preserve">§ 4903(b)</t>
  </si>
  <si>
    <t xml:space="preserve">manufacturer-sponsored maintenance programs, manufacturer extended warranty, certified pre-owned warranty, manufacturer-issued service contracts, parts exchange programs, recall and warranty service on its products.</t>
  </si>
  <si>
    <t xml:space="preserve">§ 4903(a)(1)a.</t>
  </si>
  <si>
    <t xml:space="preserve">Agreed hourly rate. If there is no agreement within 30 days of the dealer's written request, the dealer chooses the greater of (1) retail customer labor rate = total retail labor sales ÷ hours for the preceding month, or (2) a gross-profit-percentage method using the mean technician wage. The rate is applied uniformly and can never be below the rate paid on Jan. 2, 2008. Requests ≤ semiannually; increases retroactive to claims filed 15 days after receipt of the request.</t>
  </si>
  <si>
    <t xml:space="preserve">A licensee shall not eliminate flat-rate times from or establish an unreasonable flat-rate time in its warranty repair manual, warranty time guide, or any other similarly named document.</t>
  </si>
  <si>
    <t xml:space="preserve">§ 320.696(4)(b) (flush text)</t>
  </si>
  <si>
    <t xml:space="preserve">Fla. Stat. § 320.696</t>
  </si>
  <si>
    <t xml:space="preserve">http://www.leg.state.fl.us/statutes/index.cfm?App_mode=Display_Statute&amp;URL=0300-0399/0320/Sections/0320.696.html (2026 Florida Statutes)</t>
  </si>
  <si>
    <t xml:space="preserve">under a warranty or maintenance plan, extended warranty, certified pre-owned warranty, or a service contract, issued by the licensee or its common entity, unless issued by a common entity that is not a manufacturer</t>
  </si>
  <si>
    <t xml:space="preserve">§ 320.696(1)(a)</t>
  </si>
  <si>
    <t xml:space="preserve">At the dealer's election, 'reasonable compensation'. The principal factors are the dealer's retail rate and rates of similarly situated same line-make dealers in a comparable area. Labor retail rate from 100 sequential nonwarranty customer-paid ROs for warranty-like repairs or 90 consecutive days (whichever less), ≤180 days old: total labor sales ÷ hours. The franchisor may contest within 30 days; commissioner hearing with burden on the franchisor. ≤1 declaration per calendar year.</t>
  </si>
  <si>
    <t xml:space="preserve">Time allowances for the diagnosis and performance of such work and service shall be reasonable and adequate for the work to be performed.</t>
  </si>
  <si>
    <t xml:space="preserve">§ 10-1-641(a)(1)(D)</t>
  </si>
  <si>
    <t xml:space="preserve">O.C.G.A. § 10-1-641 (see also § 10-1-645)</t>
  </si>
  <si>
    <t xml:space="preserve">Mirror read: https://law.justia.com/codes/georgia/title-10/chapter-1/article-22/part-3/section-10-1-641/ (2025 Code of Georgia). Official portal: legis.ga.gov (O.C.G.A. hosted by LexisNexis).</t>
  </si>
  <si>
    <t xml:space="preserve">Such term does not include service contracts, mechanical or other insurance, or “extended warranties” sold for separate consideration by a dealer or other person not controlled by a manufacturer or distributor.</t>
  </si>
  <si>
    <t xml:space="preserve">§ 10-1-622(15)</t>
  </si>
  <si>
    <t xml:space="preserve">“Warranty” means a written document signed or authorized by the party on whose behalf it is given which is made or given incident to the sale or lease of a new motor vehicle</t>
  </si>
  <si>
    <t xml:space="preserve">Retail rate: warranty labor rate per hour can be no less than the rate the dealer charges retail customers, and no more than it. The statute gives no RO-sample method for labor; the RO method in § 437-56(b) is for parts markup only.</t>
  </si>
  <si>
    <t xml:space="preserve">In no event shall any manufacturer or distributor pay its dealers a labor rate per hour for warranty work that is less than that charged by the dealer to the retail customers of the dealer</t>
  </si>
  <si>
    <t xml:space="preserve">§ 437-28(a)(21)(G)</t>
  </si>
  <si>
    <t xml:space="preserve">Haw. Rev. Stat. § 437-28(a)(21)(G) (labor); § 437-56 (parts, claims)</t>
  </si>
  <si>
    <t xml:space="preserve">https://data.capitol.hawaii.gov/hrscurrent/Vol10_Ch0436-0474/HRS0437/HRS_0437-0028.htm (the legislature's own data host; www.capitol.hawaii.gov returned a Cloudflare 403). Cross-checked against the Justia 2025 HRS mirror.</t>
  </si>
  <si>
    <t xml:space="preserve">failed to adequately and fairly compensate its dealers for labor incurred by the dealer to perform under and comply with manufacturer's warranty agreements</t>
  </si>
  <si>
    <t xml:space="preserve">In determining qualifying repair orders for parts, the following work shall not be included: repairs for manufacturer or distributor special events; repairs covered by any insurance or service contract</t>
  </si>
  <si>
    <t xml:space="preserve">§ 437-56(c) (parts-markup RO exclusion only)</t>
  </si>
  <si>
    <t xml:space="preserve">Not less than the franchisee's rates for like services to retail customers, provided the rates are reasonable. The franchiser 'may' compute the retail labor rate as retail labor sales for warranty-like services ÷ hours, from 100 sequential customer-paid ROs or all ROs in 90 days, whichever is less, within 180 days, excluding routine maintenance such as tire or oil service. Effective 45 days after approval. A denial can be contested before DIAL, with the burden on the franchiser. At most once per year.</t>
  </si>
  <si>
    <t xml:space="preserve">The franchiser shall provide to the franchisee a list of time allowances for the performance of warranty services. Time allowances for the performance of warranty services, including diagnostic services, shall be reasonable and adequate for the services to be performed.</t>
  </si>
  <si>
    <t xml:space="preserve">§ 322A.5(2)(c)</t>
  </si>
  <si>
    <t xml:space="preserve">Iowa Code § 322A.5</t>
  </si>
  <si>
    <t xml:space="preserve">https://www.legis.iowa.gov/docs/code/322A.5.pdf (Iowa Code 2026; chapter PDF https://www.legis.iowa.gov/docs/code/322A.pdf)</t>
  </si>
  <si>
    <t xml:space="preserve">compensate the franchisee for the warranty services the franchiser requires the franchisee to provide, including warranty and recall obligations related to repairing and servicing motor vehicles of the franchiser</t>
  </si>
  <si>
    <t xml:space="preserve">§ 322A.5(2)(a)</t>
  </si>
  <si>
    <t xml:space="preserve">The compensation to the franchisee for warranty parts and labor shall not be less than the rates charged by the franchisee for like parts and services to retail customers, provided the rates are reasonable.</t>
  </si>
  <si>
    <t xml:space="preserve">§ 322A.5(2)(b)(4)</t>
  </si>
  <si>
    <t xml:space="preserve">Not less than the dealer's rate charged to retail customers for nonwarranty labor, provided it is not unreasonable compared with same or competitive franchises in the area. The dealer declares the rate from 100 sequential customer-paid ROs or 90 days of ROs, whichever is less, covering repairs within 180 days. The declared rate is presumed fair and takes effect within 90 days. At most one change per 12 months.</t>
  </si>
  <si>
    <t xml:space="preserve">§ 49-1626(2); see (1) (manufacturer provides 'the time allowance for the performance of that work')</t>
  </si>
  <si>
    <t xml:space="preserve">Idaho Code § 49-1626</t>
  </si>
  <si>
    <t xml:space="preserve">https://legislature.idaho.gov/statutesrules/idstat/title49/t49ch16/sect49-1626/ (also the chapter PDF https://legislature.idaho.gov/wp-content/uploads/statutesrules/idstat/Title49/T49CH16.pdf)</t>
  </si>
  <si>
    <t xml:space="preserve">to coerce, or attempt to coerce, any dealer in this state to offer to sell or sell any extended service contract or extended maintenance plan that is offered, sold, backed by or sponsored by the manufacturer or distributor</t>
  </si>
  <si>
    <t xml:space="preserve">§ 49-1613(4) (anti-coercion only; not a reimbursement rule)</t>
  </si>
  <si>
    <t xml:space="preserve">Each manufacturer or distributor shall specify in writing to each of its dealers licensed in this state, the dealer's obligations for predelivery preparation and warranty service on its products</t>
  </si>
  <si>
    <t xml:space="preserve">§ 49-1626(1)</t>
  </si>
  <si>
    <t xml:space="preserve">the following shall not be considered in determining amounts charged by the dealer to retail customers: ... (iii) Repairs covered by any insurance or service contract</t>
  </si>
  <si>
    <t xml:space="preserve">§ 49-1626(11)(a)(iii) (retail-rate RO exclusion only)</t>
  </si>
  <si>
    <t xml:space="preserve">The dealer's 'same effective labor rate' for customer-pay repairs, computed from 100 sequential ROs chosen and submitted by the dealer, less simple-maintenance ROs. Floor: not less than the rates charged to retail customers for like nonwarranty service. The dealer may request a warranty labor-rate increase at most once per calendar year.</t>
  </si>
  <si>
    <t xml:space="preserve">In the event that a time guide has not been agreed to for warranty repairs, or said time guide does not define time for an applicable warranty repair, the manufacturer's time guide shall be used, multiplied by 1.5.</t>
  </si>
  <si>
    <t xml:space="preserve">710/6(b)</t>
  </si>
  <si>
    <t xml:space="preserve">815 ILCS 710/6</t>
  </si>
  <si>
    <t xml:space="preserve">https://www.ilga.gov/Documents/legislation/ilcs/documents/081507100K6.htm (full act: https://www.ilga.gov/legislation/ilcs/ilcs3.asp?ActID=2382&amp;ChapterID=67)</t>
  </si>
  <si>
    <t xml:space="preserve">shall apply to any parent, subsidiary, affiliate, or agent of the motor vehicle franchiser ... if a warranty or service or repair plan is issued by that person instead of or in addition to one issued by the motor vehicle franchiser</t>
  </si>
  <si>
    <t xml:space="preserve">710/6(f); also 710/6(b) ('time guide ... for extended warranty repairs')</t>
  </si>
  <si>
    <t xml:space="preserve">No warranty or factory compensated repairs shall be excluded from this requirement, including recalls or other voluntary stop-sell repairs required by the manufacturer.</t>
  </si>
  <si>
    <t xml:space="preserve">shall properly fulfill any warranty agreement and adequately and fairly compensate each of its motor vehicle dealers for labor and parts</t>
  </si>
  <si>
    <t xml:space="preserve">710/6(a)</t>
  </si>
  <si>
    <t xml:space="preserve">Dealer's retail labor rate = total labor sales for warranty-like repairs ÷ hours that generated them, using the lesser of 100 sequential customer-paid ROs or 90 consecutive days (ROs within 180 days). Takes effect automatically if the manufacturer does not rebut within 60 days. Applies 'unless otherwise agreed'. At most one declaration per 12 months. The dealer may revert to the nonretail rate at most once per 12 months.</t>
  </si>
  <si>
    <t xml:space="preserve">Unless otherwise agreed, it is an unfair practice for a manufacturer or distributor to fail to compensate a dealer anything less than the dealer's retail rates for parts or labor the dealer uses in performing the warranty services</t>
  </si>
  <si>
    <t xml:space="preserve">§ 9-32-13-15.5(b)</t>
  </si>
  <si>
    <t xml:space="preserve">Ind. Code § 9-32-13-15.5 (with § 9-32-13-15; § 9-32-13-16 optional uniform policy; § 9-32-13-17 claims)</t>
  </si>
  <si>
    <t xml:space="preserve">https://iga.in.gov/ic/2026/Title_9.pdf (official Indiana Code 2026, Title 9; § 9-32-13-15.5 at 'Compensation for warranty services')</t>
  </si>
  <si>
    <t xml:space="preserve">selling or offering for sale a service contract, a debt cancellation agreement, a maintenance agreement, or any similar product that is approved, endorsed, sponsored, or offered by the manufacturer, distributor, affiliate, or captive finance source</t>
  </si>
  <si>
    <t xml:space="preserve">§ 9-32-13-30.1(a) (anti-coercion on sales only)</t>
  </si>
  <si>
    <t xml:space="preserve">fail to compensate a dealer anything less than the dealer's retail rate for labor and parts under the manufacturer's warranty agreements as long as the dealer's retail rate is reasonable</t>
  </si>
  <si>
    <t xml:space="preserve">§ 9-32-13-15(a)</t>
  </si>
  <si>
    <t xml:space="preserve">consider a dealer's sale of service contracts, debt cancellation agreements, maintenance agreements, or any similar product not approved, endorsed, sponsored, or offered by the manufacturer</t>
  </si>
  <si>
    <t xml:space="preserve">§ 9-32-13-30.1(b) (sales-side only)</t>
  </si>
  <si>
    <t xml:space="preserve">Not less than rates charged to retail customers for like services, provided they are reasonable. The manufacturer 'may' compute the retail labor rate as retail labor sales for warranty-like services ÷ hours, from 100 sequential customer-paid ROs or all ROs in 90 days, whichever is less, within 180 days, excluding routine maintenance such as tire or oil service. Effective 45 days after approval. A denial goes to a hearing before the director of vehicles, with the burden on the manufacturer. At most once per year.</t>
  </si>
  <si>
    <t xml:space="preserve">The compensation to the dealer for warranty parts and labor shall not be less than the rates charged by the dealer for like parts and services to retail customers, provided the rates are reasonable.</t>
  </si>
  <si>
    <t xml:space="preserve">8-2415(c)(3)</t>
  </si>
  <si>
    <t xml:space="preserve">K.S.A. 8-2415</t>
  </si>
  <si>
    <t xml:space="preserve">https://ksrevisor.gov/statutes/chapters/ch08/008_024_0015.html</t>
  </si>
  <si>
    <t xml:space="preserve">compensate the dealer for the warranty services that the first or second stage manufacturer or distributor requires the dealer to provide, including warranty and recall obligations</t>
  </si>
  <si>
    <t xml:space="preserve">8-2415(c)(1)(B)</t>
  </si>
  <si>
    <t xml:space="preserve">shall pay reasonable compensation to any authorized new vehicle dealer who performs work to rectify warranty defects in the first or second stage manufacturer's or distributor's product</t>
  </si>
  <si>
    <t xml:space="preserve">8-2415(a)</t>
  </si>
  <si>
    <t xml:space="preserve">'Reasonable compensation', where the principal factor is 'the amount of money that the dealer is charging its other customers for the same type service or repair work'. Floor: not less than the dealer's charges to retail customers for like nonwarranty services (parts at least cost + 30% gross profit), or the warranty-compensation schedule filed with the Motor Vehicle Commission. The statute has no RO-sample formula.</t>
  </si>
  <si>
    <t xml:space="preserve">Each manufacturer or distributor shall provide to its dealers with each model year a schedule of time allowances for the performance of warranty repair work and services, ... and shall be reasonable and adequate for the work to be performed.</t>
  </si>
  <si>
    <t xml:space="preserve">§ 190.046(1); Class 7+ exception at (2)(d)4</t>
  </si>
  <si>
    <t xml:space="preserve">Ky. Rev. Stat. § 190.046 (with § 190.0462)</t>
  </si>
  <si>
    <t xml:space="preserve">https://apps.legislature.ky.gov/law/statutes/statute.aspx?id=57533 (effective July 15, 2026 version)</t>
  </si>
  <si>
    <t xml:space="preserve">by virtue of any pass-through or extended warranty arrangement, governmental recall mandate, consent decree, judicial decree, litigation settlement, or other means, the component manufacturer shall be subject to all the requirements of this section</t>
  </si>
  <si>
    <t xml:space="preserve">§ 190.046(2)(d)5 (Class 7+ component manufacturers only)</t>
  </si>
  <si>
    <t xml:space="preserve">Each manufacturer or distributor shall pay reasonable compensation to any authorized dealer who performs work to repair defects</t>
  </si>
  <si>
    <t xml:space="preserve">§ 190.046(1)</t>
  </si>
  <si>
    <t xml:space="preserve">Not less than rates charged to retail customers for 'non-warranty qualifying repairs', meaning repairs of the kind the original new-vehicle warranty covers but on vehicles past its time or mileage limits. Labor rate = total labor charges ÷ hours, from all ROs containing 100 sequential qualifying ROs or all ROs in 90 consecutive days, whichever gives fewer, within 180 days. Presumed accurate; effective 45 days after receipt unless rebutted. At most once per 12 months. Protests go to the LMVC.</t>
  </si>
  <si>
    <t xml:space="preserve">Time allowances for the performance of warranty work shall be reasonable and adequate in relation to the nature and scope of the work for a qualified technician of ordinary skill to perform the work.</t>
  </si>
  <si>
    <t xml:space="preserve">§ 32:1262(A)(3)</t>
  </si>
  <si>
    <t xml:space="preserve">La. Rev. Stat. § 32:1262(A)</t>
  </si>
  <si>
    <t xml:space="preserve">https://legis.la.gov/Legis/LawPrint.aspx?d=321503 (also § 32:1252 at https://legis.la.gov/Legis/Law.aspx?d=88035 and § 32:1261 at https://legis.la.gov/Legis/Law.aspx?d=88047)</t>
  </si>
  <si>
    <t xml:space="preserve">To coerce or attempt to coerce any retail motor vehicle dealer ... to offer to sell or sell any extended service contract or extended maintenance plan or gap product offered, sold, backed by, or sponsored by the manufacturer</t>
  </si>
  <si>
    <t xml:space="preserve">§ 32:1261(A)(1)(w)(i) (anti-coercion only)</t>
  </si>
  <si>
    <t xml:space="preserve">"... warranty" means and includes a new motor vehicle warranty, a recall, or a certified pre-owned warranty of a manufacturer, distributor, wholesaler, factory branch, or distributor branch to repair or replace a defect in a vehicle or part.</t>
  </si>
  <si>
    <t xml:space="preserve">§ 32:1262(A)(1)(a); 'warranty work' at (A)(1)(f)</t>
  </si>
  <si>
    <t xml:space="preserve">Repairs for which volume discounts have been negotiated with government agencies, insurers, or service contract providers.</t>
  </si>
  <si>
    <t xml:space="preserve">§ 32:1262(A)(8)(i) (excluded from rate calculation only)</t>
  </si>
  <si>
    <t xml:space="preserve">Retail rate: 100 sequential non-warranty customer-paid ROs or 60 consecutive days of them, whichever is less, all no older than 180 days; total labor sales divided by total labor hours. Rate is presumed fair and takes effect 30 days after the declaration, subject to audit and rebuttal. The dealer may sue, and the manufacturer bears the burden. One declaration per calendar year. Floor: 'not be less than the rate and price customarily charged for retail customer repairs'.</t>
  </si>
  <si>
    <t xml:space="preserve">§ 9(b)(3); scope § 9(b)(1)</t>
  </si>
  <si>
    <t xml:space="preserve">Mass. Gen. Laws ch. 93B, § 9(b)</t>
  </si>
  <si>
    <t xml:space="preserve">https://malegislature.gov/Laws/GeneralLaws/PartI/TitleXV/Chapter93B/Section9</t>
  </si>
  <si>
    <t xml:space="preserve">under the warranty or maintenance plan, extended warranty, certified preowned warranty or a service contract, issued by the manufacturer or distributor or its common entity, unless issued by a common entity that is not a manufacturer</t>
  </si>
  <si>
    <t xml:space="preserve">§ 9(b)(1)</t>
  </si>
  <si>
    <t xml:space="preserve">issued by the manufacturer or distributor or its common entity, unless issued by a common entity that is not a manufacturer</t>
  </si>
  <si>
    <t xml:space="preserve">Not less than 'the dealer's current labor rate for nonwarranty repairs of a like kind for retail customers', established by submitting whichever produces fewer ROs within 180 days: 100 qualifying sequential customer-paid ROs, or 90 days of qualifying ROs. Presumed accurate. The licensee must approve or rebut within 30 days; otherwise the rate takes effect on day 31. One submission per year. The licensee may verify effective rates annually and adjust prospectively.</t>
  </si>
  <si>
    <t xml:space="preserve">A licensee shall specify in writing ... (iii) A time allowance for the performance of labor described in this paragraph that is reasonable and adequate.</t>
  </si>
  <si>
    <t xml:space="preserve">§ 15-212(c)(1)(iii); rate at (c)(2)(i)</t>
  </si>
  <si>
    <t xml:space="preserve">Md. Code, Transp. § 15-212(b)(3), (c)</t>
  </si>
  <si>
    <t xml:space="preserve">https://mgaleg.maryland.gov/mgawebsite/Laws/StatuteText?article=gtr&amp;section=15-212&amp;enactments=false</t>
  </si>
  <si>
    <t xml:space="preserve">Failed to reasonably compensate any franchised dealer who does work under: ... (ii) Any outstanding express or implied new vehicle or truck component parts warranty.</t>
  </si>
  <si>
    <t xml:space="preserve">§ 15-212(b)(3)(ii)</t>
  </si>
  <si>
    <t xml:space="preserve">The dealer's obligation for vehicle preparation, delivery, warranties, and recalls on its products</t>
  </si>
  <si>
    <t xml:space="preserve">§ 15-212(c)(1)(i)</t>
  </si>
  <si>
    <t xml:space="preserve">Parts sold, or repairs performed, at wholesale or for insurance carriers, or other third–party payors</t>
  </si>
  <si>
    <t xml:space="preserve">§ 15-212(c)(4)(v) (excluded from qualifying ROs only)</t>
  </si>
  <si>
    <t xml:space="preserve">The 'retail rate customarily charged by that franchisee for the same labor when not performed in satisfaction of a warranty', as long as the nonwarranty labor rate is 'routinely posted in a place conspicuous to its service customer'. The statute has no RO-sample method for labor; the 100-RO / 60-day method is for parts markup only.</t>
  </si>
  <si>
    <t xml:space="preserve">the franchisor shall reimburse the franchisee for any labor so performed at the retail rate customarily charged by that franchisee for the same labor when not performed in satisfaction of a warranty</t>
  </si>
  <si>
    <t xml:space="preserve">§ 1176, first paragraph</t>
  </si>
  <si>
    <t xml:space="preserve">Me. Rev. Stat. tit. 10, § 1176</t>
  </si>
  <si>
    <t xml:space="preserve">https://legislature.maine.gov/statutes/10/title10sec1176.html</t>
  </si>
  <si>
    <t xml:space="preserve">If a motor vehicle franchisor requires or permits a motor vehicle franchisee to perform labor or provide parts in satisfaction of a warranty created by the franchisor</t>
  </si>
  <si>
    <t xml:space="preserve">The principal factor is the retail labor rates of similarly situated same line-make dealers in a comparable area of Michigan. A dealer seeking more than the agreed rate submits 100 consecutive and sequential non-warranty customer-paid ROs or 90 consecutive days of them, whichever is less, no older than 180 days. Labor rate is total labor sales divided by hours. The manufacturer has 45 days to approve or contest; the rate takes effect 30 days after approval. Disputes go to circuit court with the manufacturer bearing the burden. One declaration per year.</t>
  </si>
  <si>
    <t xml:space="preserve">A manufacturer shall also include in the schedule of compensation a reasonable time allowance for labor for diagnostic work and repair work, included in the manufacturer's labor time allowance or listed as a separate compensable item.</t>
  </si>
  <si>
    <t xml:space="preserve">§ 445.1577(1)</t>
  </si>
  <si>
    <t xml:space="preserve">Mich. Comp. Laws §§ 445.1577 (Sec. 17) and 445.1577a (Sec. 17a)</t>
  </si>
  <si>
    <t xml:space="preserve">https://www.legislature.mi.gov/Laws/MCL?objectName=mcl-445-1577 (and ?objectName=mcl-445-1577a)</t>
  </si>
  <si>
    <t xml:space="preserve">A manufacturer shall compensate a new motor vehicle dealer for recall or warranty service required of the dealer by the manufacturer.</t>
  </si>
  <si>
    <t xml:space="preserve">At the dealer's election, the effective non-warranty labor rate: total customer labor charges on qualifying repairs divided by labor hours, from 100 sequential ROs with warranty-like repairs or 90 consecutive days, whichever is less, no older than 180 days. The manufacturer may disapprove in writing within 30 days, with substantiation against comparable same line-make dealers; otherwise the rate is approved. Internal dispute resolution comes first, then suit under § 80E.17. Once per year.</t>
  </si>
  <si>
    <t xml:space="preserve">Compensation for warranty labor must equal the dealer's effective nonwarranty labor rate multiplied by the time guide used by the dealer for nonwarranty customer-paid service repair orders.</t>
  </si>
  <si>
    <t xml:space="preserve">subd. 4(a)</t>
  </si>
  <si>
    <t xml:space="preserve">Minn. Stat. § 80E.041 (formerly § 80E.04, repealed 2018)</t>
  </si>
  <si>
    <t xml:space="preserve">https://www.revisor.mn.gov/statutes/cite/80E.041</t>
  </si>
  <si>
    <t xml:space="preserve">This section applies to all warranty repair service performed by the dealer for the manufacturer or with the approval of the manufacturer and for which the dealer is entitled to compensation or reimbursement from the manufacturer.</t>
  </si>
  <si>
    <t xml:space="preserve">subd. 1</t>
  </si>
  <si>
    <t xml:space="preserve">Principal factor: 'the prevailing wage rates being charged for similar labor and service by the franchisee' to retail customers for non-warranty work. The statute sets no RO sample size or formula. Subsection 7 lists work excluded from the retail-rate calculation. The franchisee may request a rate change at most twice per calendar year and may challenge denials at the AHC within 60 days.</t>
  </si>
  <si>
    <t xml:space="preserve">The schedule shall also include reasonable and adequate time allowances for the diagnosis and performance of preparation, delivery, and warranty service to be performed in a careful and professional manner.</t>
  </si>
  <si>
    <t xml:space="preserve">§ 407.828.2</t>
  </si>
  <si>
    <t xml:space="preserve">Mo. Rev. Stat. § 407.828</t>
  </si>
  <si>
    <t xml:space="preserve">https://revisor.mo.gov/main/OneSection.aspx?section=407.828</t>
  </si>
  <si>
    <t xml:space="preserve">The franchisor shall fairly and reasonably compensate the franchisee for preparation, delivery, and warranty service required of the franchisee by the franchisor.</t>
  </si>
  <si>
    <t xml:space="preserve">§ 407.828.1</t>
  </si>
  <si>
    <t xml:space="preserve">At the dealer's written request, the retail rate is total labor charges on qualified repairs divided by hours. The sample is all consecutive ROs containing 100 sequential qualified-repair ROs, or all ROs closed in 90 consecutive days, whichever gives fewer, no older than 180 days. The rate is presumed reasonable and takes effect 45 days after receipt unless the manufacturer rebuts once. The dealer may protest to the Motor Vehicle Commission, where the manufacturer bears the burden. At most once per 12 months.</t>
  </si>
  <si>
    <t xml:space="preserve">Time allowances for the diagnosis and performance of warranty work shall be reasonable and adequate for such work to be performed using the actual time required by a qualified technician of ordinary skill to perform such work.</t>
  </si>
  <si>
    <t xml:space="preserve">§ 63-17-85(j)</t>
  </si>
  <si>
    <t xml:space="preserve">Miss. Code Ann. §§ 63-17-85(j) and 63-17-86</t>
  </si>
  <si>
    <t xml:space="preserve">enrolled_act</t>
  </si>
  <si>
    <t xml:space="preserve">Enrolled act: https://billstatus.ls.state.ms.us/documents/2021/html/HB/0700-0799/HB0746SG.htm (2021 HB 746 as sent to Governor; Laws 2021, ch. 315). Current-code mirror: https://law.justia.com/codes/mississippi/title-63/chapter-17/distribution-and-sales/section-63-17-85/ (2025 code). The official Mississippi Code is published only through LexisNexis.</t>
  </si>
  <si>
    <t xml:space="preserve">in fulfilling a manufacturer's obligations under a new motor vehicle warranty, a recall, or a certified pre-owned warranty, to consumers</t>
  </si>
  <si>
    <t xml:space="preserve">§ 63-17-55(ee)</t>
  </si>
  <si>
    <t xml:space="preserve">Prevailing retail labor rate: total labor charges on qualified repairs divided by total hours charged. The sample is all consecutive ROs containing 100 sequential qualified-repair ROs, or 90 consecutive days, whichever gives fewer, no older than 180 days. The rate takes effect 30 days after the franchisor receives notice unless it objects once, with full substantiation, that the rate is 'materially inaccurate'. The franchisor bears the burden, and any resolution is retroactive. One submission per 12 months.</t>
  </si>
  <si>
    <t xml:space="preserve">using the franchisor's labor time guide or the labor time guide used by the dealer for labor furnished other than pursuant to warranty, at the dealer's election</t>
  </si>
  <si>
    <t xml:space="preserve">§ 61-4-213(1)(a)(i)</t>
  </si>
  <si>
    <t xml:space="preserve">Mont. Code Ann. § 61-4-213</t>
  </si>
  <si>
    <t xml:space="preserve">https://mca.legmt.gov/bills/mca/title_0610/chapter_0040/part_0020/section_0130/0610-0040-0020-0130.html</t>
  </si>
  <si>
    <t xml:space="preserve">"Warranty" means, in addition to a new motor vehicle warranty, predelivery preparation, a recall, or a certified preowned warranty, in each case issued or administered by a motor vehicle franchisor.</t>
  </si>
  <si>
    <t xml:space="preserve">§ 61-4-213(13)(f)</t>
  </si>
  <si>
    <t xml:space="preserve">Not less than the dealer's 'current retail labor rate'. Dealer may declare it from 100 sequential non-warranty customer-paid ROs containing warranty-like parts or 60 consecutive days of such ROs, whichever is less (within 180 days). Presumed accurate. Manufacturer may rebut within 30 days by substantiating inaccuracy. Protest goes to the DMV Commissioner.</t>
  </si>
  <si>
    <t xml:space="preserve">The disclosure required under this subsection shall include the schedule of compensation to be paid the dealers for parts, work, and service ... and the time allowances for the performance of the work and service.</t>
  </si>
  <si>
    <t xml:space="preserve">§ 20-305.1(a); see (a5)</t>
  </si>
  <si>
    <t xml:space="preserve">N.C. Gen. Stat. § 20-305.1</t>
  </si>
  <si>
    <t xml:space="preserve">https://www.ncleg.gov/EnactedLegislation/Statutes/HTML/BySection/Chapter_20/GS_20-305.1.html</t>
  </si>
  <si>
    <t xml:space="preserve">the dealer's obligations for preparation, delivery, pre-sale maintenance, manufacturer-directed component installation or assembly, warranty, manufacturer-sponsored maintenance programs, manufacturer extended warranty, parts exchange programs, and recall service on its products.</t>
  </si>
  <si>
    <t xml:space="preserve">§ 20-305.1(a)</t>
  </si>
  <si>
    <t xml:space="preserve">Under no circumstances shall the compensation under this section for warranty and recall service be in an amount less than the dealer's current retail labor rate</t>
  </si>
  <si>
    <t xml:space="preserve">Not less than the dealer's average retail labor rate: total labor sales ÷ total hours from 100 sequential non-warranty customer-paid ROs with warranty-like parts or 90 consecutive days, whichever is less (within 180 days). Presumed fair and effective 30 days after receipt. Manufacturer may contest once, within 30 days, with calculations and evidence; the dispute goes to court and the manufacturer bears the burden. A rate may be demanded no more than once every 12 months.</t>
  </si>
  <si>
    <t xml:space="preserve">may not be less than the average retail rate charged by the dealer as provided under subsection 5 multiplied by the time guide used by the dealer for nonwarranty customer-paid service repair orders.</t>
  </si>
  <si>
    <t xml:space="preserve">§ 51-07-29(1)(b)</t>
  </si>
  <si>
    <t xml:space="preserve">N.D. Cent. Code § 51-07-29</t>
  </si>
  <si>
    <t xml:space="preserve">https://www.ndlegis.gov/cencode/t51c07.pdf</t>
  </si>
  <si>
    <t xml:space="preserve">in connection with the following manufacturer or distributor sponsored, issued, or required items: ... (5) Extended warranty. ... (7) Service contracts.</t>
  </si>
  <si>
    <t xml:space="preserve">§ 51-07-29(1)(a)(5), (7)</t>
  </si>
  <si>
    <t xml:space="preserve">in connection with the following manufacturer or distributor sponsored, issued, or required items: ... (6) Certified preowned warranty.</t>
  </si>
  <si>
    <t xml:space="preserve">§ 51-07-29(1)(a)(6)</t>
  </si>
  <si>
    <t xml:space="preserve">A motor vehicle manufacturer or distributor shall reasonably compensate its dealers for labor and parts provided by the dealer in connection with the following manufacturer or distributor sponsored, issued, or required items:</t>
  </si>
  <si>
    <t xml:space="preserve">§ 51-07-29(1)(a)</t>
  </si>
  <si>
    <t xml:space="preserve">Principal factor: 'the prevailing wage rates being paid by dealers in the community'. The floor is the dealer's own rates for like service to retail or fleet customers, excluding listed maintenance work. There is no statutory labor-rate declaration formula; the 100 ROs/90 days/180-day method is written for parts markup. The manufacturer may request up to 100 additional ROs from a 90-day window to test the declared 'retail labor rate' and may adjust if the dealer's retail rates are lower. Negotiated rates are allowed.</t>
  </si>
  <si>
    <t xml:space="preserve">Time allowances for the diagnosis and performance of warranty work and service shall be adequate for a qualified technician to perform the work or service.</t>
  </si>
  <si>
    <t xml:space="preserve">§ 60-1438(2)(a)</t>
  </si>
  <si>
    <t xml:space="preserve">Neb. Rev. Stat. § 60-1438</t>
  </si>
  <si>
    <t xml:space="preserve">https://nebraskalegislature.gov/laws/statutes.php?statute=60-1438</t>
  </si>
  <si>
    <t xml:space="preserve">The manufacturer or distributor shall compensate the new motor vehicle dealer for warranty service which such manufacturer or distributor requires the dealer to provide, including warranty and recall obligations</t>
  </si>
  <si>
    <t xml:space="preserve">§ 60-1438(1)</t>
  </si>
  <si>
    <t xml:space="preserve">Floor: the manufacturer may not pay 'an amount of money for warranty work that is less than that charged by the dealer to the retail customers of the dealer for non-warranty work of like kind'. The 100 sequential ROs / 90 days / 180-day declaration procedure in II(b)(1)(B)(ii) is written for parts markup. The statute refers to an 'average labor rate' (once per calendar year) and to 'labor reimbursement' on protest, but gives no labor-rate formula. Declared rates must be reasonable against nearby same line-make dealers of similar size. Protests go to the Motor Vehicle Industry Board.</t>
  </si>
  <si>
    <t xml:space="preserve">§ 357-C:5, II(b)(1)</t>
  </si>
  <si>
    <t xml:space="preserve">N.H. Rev. Stat. Ann. § 357-C:5, II</t>
  </si>
  <si>
    <t xml:space="preserve">https://gc.nh.gov/rsa/html/XXXI/357-C/357-C-5.htm</t>
  </si>
  <si>
    <t xml:space="preserve">labor under the warranty or maintenance plan, extended warranty, certified preowned warranty or a service contract, issued by the manufacturer or distributor or its common entity.</t>
  </si>
  <si>
    <t xml:space="preserve">§ 357-C:5, II(b)(1); II(b)(1)(A)</t>
  </si>
  <si>
    <t xml:space="preserve">issued by the manufacturer or distributor or its common entity.</t>
  </si>
  <si>
    <t xml:space="preserve">Average retail labor rate: 100 sequential customer-paid ROs or 90 days of them, whichever is less, no older than 180 days; total labor charges x 1.0 divided by total labor hours. The rate takes effect 30 days after declaration, subject to audit of the submitted sample only. At most two changes to rate, time allowance or parts markup per calendar year.</t>
  </si>
  <si>
    <t xml:space="preserve">at the motor vehicle franchisee's discretion, an established average retail labor time allowance, in lieu of the motor vehicle franchisor's labor time guide for franchisor-paid repairs or service</t>
  </si>
  <si>
    <t xml:space="preserve">§ 56:10-15(m)</t>
  </si>
  <si>
    <t xml:space="preserve">N.J. Stat. Ann. § 56:10-15 (as amended by P.L.2025, c.140, § 7)</t>
  </si>
  <si>
    <t xml:space="preserve">https://pub.njleg.gov/Bills/2024/PL25/140_.PDF (enrolled chapter law, S3309; official codified text is on lis.njleg.state.nj.us)</t>
  </si>
  <si>
    <t xml:space="preserve">perform labor services or provide parts in satisfaction of a repair service offered and reimbursed by the motor vehicle franchisor, including, but not limited to, a warranty, an extended warranty, a maintenance plan, a service-related plan, or a recall</t>
  </si>
  <si>
    <t xml:space="preserve">§ 56:10-15 (intro); (g); (h)</t>
  </si>
  <si>
    <t xml:space="preserve">§ 56:10-15 (intro)</t>
  </si>
  <si>
    <t xml:space="preserve">in satisfaction of a repair service offered and reimbursed by the motor vehicle franchisor</t>
  </si>
  <si>
    <t xml:space="preserve">Retail customer rate for labor and diagnostic work: dealer declares its average customer-pay labor rate from the lesser of 100 sequential customer-paid ROs or 90 days of customer-paid ROs (repairs within 180 days). Manufacturer may refuse if miscalculated or it 'unreasonably exceed[s]' all other same-line dealers in the relevant market area. No more than 2 increases per calendar year.</t>
  </si>
  <si>
    <t xml:space="preserve">A manufacturer shall compensate a dealer for labor and diagnostic work for recall or warranty repairs at the rates charged by the dealer to its retail customers for such work.</t>
  </si>
  <si>
    <t xml:space="preserve">§ 57-16-7(D)</t>
  </si>
  <si>
    <t xml:space="preserve">N.M. Stat. Ann. § 57-16-7 (NMSA 1978)</t>
  </si>
  <si>
    <t xml:space="preserve">https://law.justia.com/codes/new-mexico/chapter-57/article-16/section-57-16-7/ (2025 NM Statutes mirror; cross-checked against Armatus text https://www.dealeruplift.com/state-retail-warranty-reimbursement-laws/new-mexico-warranty-reimbursement-law/). Official portal NMOneSource (nmonesource.com) returned HTTP 403.</t>
  </si>
  <si>
    <t xml:space="preserve">schedule of compensation to be paid to the dealer for recall or warranty repairs, work or service, including parts, labor and diagnostic work, required of the dealer by the manufacturer</t>
  </si>
  <si>
    <t xml:space="preserve">§ 57-16-7(B)</t>
  </si>
  <si>
    <t xml:space="preserve">Each manufacturer shall specify in its franchise agreement, or in a separate written agreement, with each of its dealers licensed in this state, the dealer's obligation to perform warranty work or service on the manufacturer's products.</t>
  </si>
  <si>
    <t xml:space="preserve">§ 57-16-7(A)</t>
  </si>
  <si>
    <t xml:space="preserve">Parity floor only: compensation for parts and labor 'must not be less than the amount of money charged to its various retail customers for parts and labor that are not covered by a warranty'. 'Fair compensation includes diagnosis and reasonable administrative and clerical costs.' The statute sets no RO submission or calculation procedure.</t>
  </si>
  <si>
    <t xml:space="preserve">fail to compensate a dealer fairly for labor, parts and other expenses incurred by the dealer under the manufacturer's warranty agreements or any recall service or repairs</t>
  </si>
  <si>
    <t xml:space="preserve">§ 482.36385(3)</t>
  </si>
  <si>
    <t xml:space="preserve">Nev. Rev. Stat. § 482.36385(3)</t>
  </si>
  <si>
    <t xml:space="preserve">https://www.leg.state.nv.us/NRS/NRS-482.html#NRS482Sec36385</t>
  </si>
  <si>
    <t xml:space="preserve">Not less than the price and rate the dealer charges non-warranty and/or non-service-contract customers. Dealer declares from the lesser of 100 sequential non-warranty customer-paid ROs or 90 days of ROs (within 180 days). Effective 30 days after declaration and presumed reasonable. Franchisor may rebut by comparison with same line-make dealers in the vicinity. At most one change per calendar year.</t>
  </si>
  <si>
    <t xml:space="preserve">reasonable compensation shall be the reasonable labor time allowances defined by the retail labor time guide reasonably utilized by a franchised motor vehicle dealer for non-warranty customer paid labor operations.</t>
  </si>
  <si>
    <t xml:space="preserve">§ 465(1)</t>
  </si>
  <si>
    <t xml:space="preserve">N.Y. Veh. &amp; Traf. Law § 465(1) (Franchised Motor Vehicle Dealer Act, Art. 17-A)</t>
  </si>
  <si>
    <t xml:space="preserve">https://www.nysenate.gov/legislation/laws/VAT/465 (official; Cloudflare blocks scripted fetch; page shows last update 2024-09-06). Full current text read at https://newyork.public.law/laws/n.y._vehicle_and_traffic_law_section_465 (sourced from nysenate.gov). Operative 2024 amendment verified against the bill text on the official Assembly site: https://assembly.state.ny.us/leg/?bn=A04066&amp;term=2023 (A4066-B/S5085-C).</t>
  </si>
  <si>
    <t xml:space="preserve">Every franchisor shall properly fulfill any warranty agreement and/or franchisor's service contract, including but not limited to all warranty repairs, extended warranty repairs, factory compensated repairs</t>
  </si>
  <si>
    <t xml:space="preserve">including but not limited to all warranty repairs, extended warranty repairs, factory compensated repairs, recalls, diagnostics, parts and other voluntary stop-sell repairs</t>
  </si>
  <si>
    <t xml:space="preserve">All warranty claims and/or claims under a franchisor's service contract made by franchised motor vehicle dealers shall be paid within thirty days following their approval.</t>
  </si>
  <si>
    <t xml:space="preserve">Not less than the franchisee's retail rates for warranty-like diagnosis and labor. The franchisee picks 100 sequential customer-paid warranty-like ROs or all such ROs over 90 consecutive days (within 180 days). Rate = total labor sales ÷ labor hours. Franchisor may contest within 30 days, then internal dispute resolution with appeal to court. Once per calendar year. The franchisor may not unilaterally set the rate.</t>
  </si>
  <si>
    <t xml:space="preserve">The franchisor shall use time allowances for the diagnosis and performance of the warranty and recall work and service that are reasonable and adequate for the work or services to be performed by a qualified technician.</t>
  </si>
  <si>
    <t xml:space="preserve">§ 4517.52(D)(1)</t>
  </si>
  <si>
    <t xml:space="preserve">Ohio Rev. Code § 4517.52</t>
  </si>
  <si>
    <t xml:space="preserve">https://codes.ohio.gov/ohio-revised-code/section-4517.52</t>
  </si>
  <si>
    <t xml:space="preserve">Each franchisor shall compensate each of its franchisees for labor and parts used to fulfill warranty and recall obligations</t>
  </si>
  <si>
    <t xml:space="preserve">§ 4517.52(B)</t>
  </si>
  <si>
    <t xml:space="preserve">Each franchisor shall fulfill warranty and recall obligations of diagnosing, repairing, and servicing motor vehicles</t>
  </si>
  <si>
    <t xml:space="preserve">§ 4517.52(A)</t>
  </si>
  <si>
    <t xml:space="preserve">No less than the rates customarily charged for retail consumer repairs. At the dealer's option, declared from 100 sequential non-warranty consumer-paid ROs with warranty-like repairs or 90 consecutive days, whichever is less (within 180 days). Rate = total labor sales ÷ total labor hours charged. Manufacturer may rebut within 45 days and may request 30 days of supplemental ROs if the rate is substantially higher. Protest goes to the Commission, with the burden on the manufacturer. Once per 12 months.</t>
  </si>
  <si>
    <t xml:space="preserve">Time allowances for the diagnosis and performance of repair work shall be reasonable and adequate for the work to be performed.</t>
  </si>
  <si>
    <t xml:space="preserve">47 O.S. § 565(A)(9)(b)</t>
  </si>
  <si>
    <t xml:space="preserve">Okla. Stat. tit. 47, § 565(A)(9)(b) (Oklahoma Motor Vehicle Commission Act; framed as a license-discipline ground for a 'factory')</t>
  </si>
  <si>
    <t xml:space="preserve">Enrolled acts: https://oklegislature.gov/cf_pdf/2025-26%20ENR/hB/HB2158%20ENR.PDF and https://oklegislature.gov/cf_pdf/2025-26%20ENR/hB/HB2160%20ENR.PDF. Official code portal OSCN (oscn.net) sits behind a Cloudflare Turnstile human check; not attempted. The pre-2025 sentence was cross-checked on Justia's 2023 OK Statutes.</t>
  </si>
  <si>
    <t xml:space="preserve">adequately and fairly compensate its dealers for labor, parts, and other expenses incurred by the dealer to perform under and comply with manufacturer's warranty agreements and recall repairs</t>
  </si>
  <si>
    <t xml:space="preserve">Not less than the rate the dealer charges nonwarranty customers. Dealer proposes it from 100 sequential nonwarranty customer-paid invoices or 90 consecutive days, whichever is less (within 180 days). Presumed fair if uncontested. Manufacturer may contest on accuracy or with evidence from at least 3 dealers in contiguous or similar markets. Effective 30 days after approval, and uncontested for 30 days counts as approval. Verification or increase once per year.</t>
  </si>
  <si>
    <t xml:space="preserve">A manufacturer, distributor or importer shall use time allowances that are reasonable and adequate for a qualified technician to make a diagnosis and perform work or service.</t>
  </si>
  <si>
    <t xml:space="preserve">ORS 650.158(2)(b)(C); see (1)(c), (2)(a)</t>
  </si>
  <si>
    <t xml:space="preserve">Or. Rev. Stat. § 650.158</t>
  </si>
  <si>
    <t xml:space="preserve">https://www.oregonlegislature.gov/bills_laws/ors/ors650.html (2025 edition); enrolled HB 2127: https://olis.oregonlegislature.gov/liz/2025R1/Downloads/MeasureDocument/HB2127</t>
  </si>
  <si>
    <t xml:space="preserve">A manufacturer, distributor or importer may not pay an hourly rate to a dealer that is less than the rate the dealer charges nonwarranty customers for nonwarranty service and repairs.</t>
  </si>
  <si>
    <t xml:space="preserve">ORS 650.158(2)(a)</t>
  </si>
  <si>
    <t xml:space="preserve">The dealer's obligations for predelivery preparation and warranty service on the manufacturer's, distributor's or importer's motor vehicles;</t>
  </si>
  <si>
    <t xml:space="preserve">ORS 650.158(1)(a)</t>
  </si>
  <si>
    <t xml:space="preserve">Dealer's retail rate: declared average labor rate = total labor sales ÷ total labor hours from the lesser of 100 sequential non-warranty customer-paid ROs or 90 consecutive days (within 180 days). Presumed reasonable and effective 60 days after declaration. Manufacturer may rebut within 60 days and propose an adjustment. Protest to the State Board of Vehicle Manufacturers, Dealers and Salespersons. One declaration per calendar year. Dealer may opt out (revert to nonretail) once a year to avoid a surcharge.</t>
  </si>
  <si>
    <t xml:space="preserve">provide the dealer with a schedule of compensation to be paid the dealer for parts, work and service, and the time allowance for the performance of such work and service.</t>
  </si>
  <si>
    <t xml:space="preserve">§ 307(a)(1); rate: § 307(a)(3)</t>
  </si>
  <si>
    <t xml:space="preserve">Board of Vehicles Act § 307, 63 P.S. § 818.307 (Act of Dec. 22, 1983, P.L. 306, No. 84)</t>
  </si>
  <si>
    <t xml:space="preserve">https://www.legis.state.pa.us/WU01/LI/LI/US/HTM/1983/0/0084..HTM (official unconsolidated statute, reflecting amendments through July 20, 2026, P.L. 549, No. 51)</t>
  </si>
  <si>
    <t xml:space="preserve">Any warranty, recall, service contract or any other required service parts or labor reimbursement claim or incentive or reimbursement program claim filed by the dealer with the manufacturer or distributor</t>
  </si>
  <si>
    <t xml:space="preserve">§ 307(e)(1); see § 310(b)(2)</t>
  </si>
  <si>
    <t xml:space="preserve">Compensation for labor used in warranty service shall be at the dealer's retail rate.</t>
  </si>
  <si>
    <t xml:space="preserve">§ 307(a)(3)</t>
  </si>
  <si>
    <t xml:space="preserve">Statute silent on time until 9/30/2026; actual technician time from 10/1/2026</t>
  </si>
  <si>
    <t xml:space="preserve">Dealer retail rate: total labor sales ÷ total labor hours from all non-warranty customer-paid ROs for the month before submission. Presumed fair. Manufacturer may rebut within 30 days as unfair and unreasonable versus same line-make dealers in the vicinity. Protest goes to the Department. At most twice per calendar year. Unchanged by S 2347A except for adding 'non-warranty' and distributors and factory branches.</t>
  </si>
  <si>
    <t xml:space="preserve">Compensation for warranty labor shall equal the dealer's non-warranty labor rate multiplied by the actual time worked by the dealer's technician performing necessary repairs</t>
  </si>
  <si>
    <t xml:space="preserve">§ 31-5.1-6(c) (as amended eff. 10/1/2026)</t>
  </si>
  <si>
    <t xml:space="preserve">R.I. Gen. Laws § 31-5.1-6, as amended by 2026 S 2347 Sub A / H 8213 Sub A (eff. 10/1/2026)</t>
  </si>
  <si>
    <t xml:space="preserve">https://webserver.rilegislature.gov/BillText/BillText26/SenateText26/S2347A.pdf (enacted Sub A text; strike and underline markup read from the PDF). Pre-amendment codified text: https://webserver.rilegislature.gov/Statutes/TITLE31/31-5.1/31-5.1-6.htm</t>
  </si>
  <si>
    <t xml:space="preserve">Every manufacturer, distributor or factory branch shall properly fulfill any warranty agreement and adequately and fairly compensate each of its motor vehicle dealers for labor and parts.</t>
  </si>
  <si>
    <t xml:space="preserve">§ 31-5.1-6(a)</t>
  </si>
  <si>
    <t xml:space="preserve">Not addressed until 9/30/2026; Required from 10/1/2026</t>
  </si>
  <si>
    <t xml:space="preserve">certified pre-owned warranty or recall that is issued by the manufacturer, distributor, factory branch, common entity, or agent of the manufacturer, distributor, or factory branch work shall be at the dealer retail rate</t>
  </si>
  <si>
    <t xml:space="preserve">§ 31-5.1-6(a) (as amended eff. 10/1/2026)</t>
  </si>
  <si>
    <t xml:space="preserve">Retail rate only if the dealer requests retail reimbursement under (C)(4). Rate = retail labor sales for warranty-like services ÷ hours of labor spent, from 100 sequential customer-paid ROs or all customer-paid ROs in a 90-day period, whichever is less (within 180 days). Manufacturer may request more documentation (extends time 30 days), then approves or denies. Effective 30 days after approval. Once per 12 months. Dealer may protest a denial in the court of common pleas, with the burden on the manufacturer.</t>
  </si>
  <si>
    <t xml:space="preserve">reasonable compensation shall not be less than the rate charged by the dealer for like services to nonwarranty customers for nonwarranty parts, service, and repairs if the dealer has submitted a request for retail reimbursement</t>
  </si>
  <si>
    <t xml:space="preserve">§ 56-15-60(C)(1)</t>
  </si>
  <si>
    <t xml:space="preserve">S.C. Code Ann. § 56-15-60</t>
  </si>
  <si>
    <t xml:space="preserve">https://www.scstatehouse.gov/code/t56c015.php</t>
  </si>
  <si>
    <t xml:space="preserve">The manufacturer or distributor shall compensate the dealer for the warranty services the manufacturer or distributor requires the dealer to provide</t>
  </si>
  <si>
    <t xml:space="preserve">§ 56-15-60(B)</t>
  </si>
  <si>
    <t xml:space="preserve">Floor: the hourly rate 'may not be less than the rate charged by the dealer for like service to nonwarranty customers'. The manufacturer 'shall rely on the vehicle dealer's written schedule of hourly labor rates'. No transaction-by-transaction proof may be required. There is no repair-order count or submission formula.</t>
  </si>
  <si>
    <t xml:space="preserve">Time allowances for diagnosis and performance of warranty work and service shall be adequate for the work to be performed. The hourly labor rate paid to the dealer for warranty services may not be less than the rate charged…</t>
  </si>
  <si>
    <t xml:space="preserve">§ 32-6B-61</t>
  </si>
  <si>
    <t xml:space="preserve">S.D. Codified Laws §§ 32-6B-58, 32-6B-61</t>
  </si>
  <si>
    <t xml:space="preserve">https://sdlegislature.gov/Statutes/32-6B-61 (read via official API https://sdlegislature.gov/api/Statutes/32-6B.html?all=true)</t>
  </si>
  <si>
    <t xml:space="preserve">Every franchisor, component manufacturer, or manufacturer shall properly fulfill any warranty agreement and compensate, as set forth in § 32-6B-61, each of its vehicle dealers for labor and parts.</t>
  </si>
  <si>
    <t xml:space="preserve">§ 32-6B-58</t>
  </si>
  <si>
    <t xml:space="preserve">The schedule of compensation for warranty work shall include reasonable compensation for diagnostic work, as well as repair service, parts, and labor.</t>
  </si>
  <si>
    <t xml:space="preserve">The warranty hourly rate may not be less than 'the dealer's retail labor rate for similar repairs' unless the manufacturer shows the Motor Vehicle Commission that the rate is 'improper in light of all economic circumstances'. The dealer may not charge more than its posted retail labor rate. Dealers file sworn labor-rate statements with the commission. The 100-RO/90-day submission in (d)(2)(C) covers parts markup only.</t>
  </si>
  <si>
    <t xml:space="preserve">In no event shall a manufacturer or distributor pay to its dealers a labor rate per hour for warranty repairs or servicing less than the dealer's retail labor rate for similar repairs</t>
  </si>
  <si>
    <t xml:space="preserve">§ 55-17-121(b)</t>
  </si>
  <si>
    <t xml:space="preserve">Tenn. Code Ann. § 55-17-121</t>
  </si>
  <si>
    <t xml:space="preserve">Mirror: https://law.justia.com/codes/tennessee/2025/title-55/chapter-17/part-1/section-55-17-121/ (checked against FindLaw, current as of Jan. 2, 2024). The official T.C.A. is published only by LexisNexis (https://www.lexisnexis.com/hottopics/tncode/), and its session-law PDF returned 403.</t>
  </si>
  <si>
    <t xml:space="preserve">The manufacturer or distributor shall compensate the dealer for the warranty services the manufacturer or distributor requires the dealer to provide, including warranty and recall obligations related to repairing and servicing motor vehicles</t>
  </si>
  <si>
    <t xml:space="preserve">§ 55-17-121(d)(1)</t>
  </si>
  <si>
    <t xml:space="preserve">a schedule of compensation that specifies reasonable compensation the manufacturer or distributor will pay to the dealer for such recalls and warranty services, including for parts and diagnostics.</t>
  </si>
  <si>
    <t xml:space="preserve">§ 55-17-121(d)(2)(A)</t>
  </si>
  <si>
    <t xml:space="preserve">No motor vehicle dealer shall charge the manufacturer or distributor a labor rate per hour for warranty work in excess of its posted retail labor rate.</t>
  </si>
  <si>
    <t xml:space="preserve">§ 55-17-121(c)</t>
  </si>
  <si>
    <t xml:space="preserve">The dealer must be paid at least 'the amount the dealer charges a retail customer for similar nonwarranty work', using the greater of (1) the average labor rate on 100 sequential nonwarranty ROs or (2) the average over 90 consecutive days, both within the preceding 6 months and excluding routine maintenance. Dealers request adjustments by certified mail. The manufacturer has 60 days to respond, then the dealer can protest to the Board. Adjustments are limited to one a year.</t>
  </si>
  <si>
    <t xml:space="preserve">A manufacturer or distributor may not pay or reimburse a dealer an amount of money for warranty work that is less than the amount the dealer charges a retail customer for similar nonwarranty work.</t>
  </si>
  <si>
    <t xml:space="preserve">§ 2301.402(b)</t>
  </si>
  <si>
    <t xml:space="preserve">Tex. Occ. Code §§ 2301.401–.406 (rate: § 2301.402)</t>
  </si>
  <si>
    <t xml:space="preserve">https://statutes.capitol.texas.gov/Docs/OC/htm/OC.2301.htm (JavaScript app; I read the Legislature's own file server copy at https://tcss.legis.texas.gov/resources/OC/htm/OC.2301.htm, last modified Apr. 10, 2026)</t>
  </si>
  <si>
    <t xml:space="preserve">A manufacturer or distributor shall fairly and adequately compensate its dealers for warranty work.</t>
  </si>
  <si>
    <t xml:space="preserve">§ 2301.402(a)</t>
  </si>
  <si>
    <t xml:space="preserve">duties under the manufacturer's or distributor's warranty; and (2) vehicle preparation and delivery obligations.</t>
  </si>
  <si>
    <t xml:space="preserve">§ 2301.401(a)(1)–(2)</t>
  </si>
  <si>
    <t xml:space="preserve">Retail labor rate = total labor charges on the submitted qualified repairs ÷ total hours in those repairs. The dealer submits 100 sequential qualified-repair ROs or 90 consecutive days, whichever gives fewer ROs, all within 180 days. The rate takes effect 30 days after submission unless the franchisor objects or asks for extra ROs (the 30 days before or after). Changes are limited to one per 12 months, and payment must start within 15 days of the effective date.</t>
  </si>
  <si>
    <t xml:space="preserve">Time allowances described in Subsection (1) for the diagnosis and performance of warranty work and service shall be reasonable and adequate for the work to be performed.</t>
  </si>
  <si>
    <t xml:space="preserve">§ 13-14-204(2)(b); see (1)(c)</t>
  </si>
  <si>
    <t xml:space="preserve">Utah Code § 13-14-204</t>
  </si>
  <si>
    <t xml:space="preserve">https://le.utah.gov/xcode/Title13/Chapter14/13-14-S204.html (version effective 5/3/2023; chapter PDF C13-14_1800010118000101.pdf also checked)</t>
  </si>
  <si>
    <t xml:space="preserve">Reasonable compensation of the franchisee for parts and service in warranty or recall repair work may not be less than the rates charged by the franchisee for like parts and service to retail customers.</t>
  </si>
  <si>
    <t xml:space="preserve">§ 13-14-204(3)(b)(i)</t>
  </si>
  <si>
    <t xml:space="preserve">"Qualified repair" does not include: ... (C) a repair for a government agency, an insurer, or an extended warranty or service contract provider;</t>
  </si>
  <si>
    <t xml:space="preserve">§ 13-14-204(3)(a)(ii)(C)</t>
  </si>
  <si>
    <t xml:space="preserve">Compensation must be at least 'the amounts charged by the dealer ... to retail customers for nonwarranty service'. Increases are requested in writing and based on 100 consecutive ROs or all ROs over a 90-day period, 'whichever occurs first'. Only retail ROs count; menu pricing, internal work, group or special-event discounts and insurance repairs are excluded.</t>
  </si>
  <si>
    <t xml:space="preserve">Compensation of a dealer for recall or warranty parts, service, and diagnostic work shall not be less than the amounts charged by the dealer for the manufacturer's or distributor's original parts, service, and diagnostic work to retail customers</t>
  </si>
  <si>
    <t xml:space="preserve">§ 46.2-1571(A)(1)</t>
  </si>
  <si>
    <t xml:space="preserve">Va. Code Ann. § 46.2-1571</t>
  </si>
  <si>
    <t xml:space="preserve">https://law.lis.virginia.gov/vacode/title46.2/chapter15/section46.2-1571/</t>
  </si>
  <si>
    <t xml:space="preserve">All manufacturer or distributor compensated parts, service, diagnostic work, updates to a vehicle accessory or function, or initialization or repair of a vehicle part, system, accessory, or function performed by the dealer shall be subject to this subsection.</t>
  </si>
  <si>
    <t xml:space="preserve">The hourly rate may not be less than the dealer's rate to customers for nonwarranty service. Labor is paid 'at the retail rate customarily charged', provided the nonwarranty labor rate is 'routinely posted in a place conspicuous' to service customers. The dealer's retail amounts are presumed fair. The manufacturer can rebut by comparison with at least 4 other same-line or competing-line dealers nearby. The 100-RO/60-day method covers parts markup only.</t>
  </si>
  <si>
    <t xml:space="preserve">Time allowances for the diagnosis and performance of predelivery and warranty service shall be reasonable and adequate for the work to be performed. The hourly rate paid to a new motor vehicle dealer shall not be less than the rate…</t>
  </si>
  <si>
    <t xml:space="preserve">§ 4086(b); see (a)</t>
  </si>
  <si>
    <t xml:space="preserve">Vt. Stat. Ann. tit. 9, § 4086</t>
  </si>
  <si>
    <t xml:space="preserve">https://legislature.vermont.gov/statutes/section/09/108/04086 (read the full chapter at https://legislature.vermont.gov/statutes/fullchapter/09/108)</t>
  </si>
  <si>
    <t xml:space="preserve">the dealer's obligations for predelivery preparation and warranty service on its products, shall compensate the new motor vehicle dealer for such service required of the dealer by the manufacturer</t>
  </si>
  <si>
    <t xml:space="preserve">§ 4086(a)</t>
  </si>
  <si>
    <t xml:space="preserve">the manufacturer shall reimburse the new motor vehicle dealer for any labor performed at the retail rate customarily charged by that franchisee for the same labor when not performed in satisfaction of a warranty</t>
  </si>
  <si>
    <t xml:space="preserve">§ 4086(c)</t>
  </si>
  <si>
    <t xml:space="preserve">Labor and diagnostic work, plus manufacturer-required documentation work, are paid at 'the rates charged by the dealer to its retail customers for such work'. The manufacturer may refuse an increase only by showing the rate 'unreasonably exceed[s] those of all other' same-line or competing-line dealers in the relevant market area. One increase per calendar year. The 100-RO/90-day method in (1)(a) covers parts markup only.</t>
  </si>
  <si>
    <t xml:space="preserve">A manufacturer shall compensate a dealer for labor and diagnostic work at the rates charged by the dealer to its retail customers for such work</t>
  </si>
  <si>
    <t xml:space="preserve">§ 46.96.105(1)(b)</t>
  </si>
  <si>
    <t xml:space="preserve">Rev. Code Wash. § 46.96.105</t>
  </si>
  <si>
    <t xml:space="preserve">https://app.leg.wa.gov/RCW/default.aspx?cite=46.96.105 (full chapter: https://app.leg.wa.gov/RCW/default.aspx?cite=46.96&amp;full=true)</t>
  </si>
  <si>
    <t xml:space="preserve">a schedule of compensation to be paid to the dealer for any warranty work or service, including parts, labor, and diagnostic work, required of the dealer by the manufacturer in connection with the manufacturer's products.</t>
  </si>
  <si>
    <t xml:space="preserve">§ 46.96.105(1)</t>
  </si>
  <si>
    <t xml:space="preserve">repair work paid for by the brand owner under the terms of a warranty, recall, service contract, extended warranty, maintenance plan, or certified preowned vehicle program established or offered by the brand owner.</t>
  </si>
  <si>
    <t xml:space="preserve">§ 46.96.196(3) (secondary-products rule only)</t>
  </si>
  <si>
    <t xml:space="preserve">the dealer's obligation to perform warranty work or service on the manufacturer's products.</t>
  </si>
  <si>
    <t xml:space="preserve">Effective nonwarranty labor rate = total customer labor charges on qualifying nonwarranty repairs ÷ the hours the manufacturer's warranty time allowances would have allowed for those repairs. Qualifying repairs are those that would be warranty-covered, excluding routine maintenance, taken from 100 sequential ROs or all ROs in 90 days, whichever is less, within 180 days. The manufacturer must start paying within 30 days or give a written dispute stating the rate it considers substantiated.</t>
  </si>
  <si>
    <t xml:space="preserve">for labor is equal to the dealer's effective nonwarranty labor rate multiplied by the number of hours allowed for the repair under the manufacturer's, importer's, or distributor's time allowances used in compensating the dealer for warranty work.</t>
  </si>
  <si>
    <t xml:space="preserve">§ 218.0125(3m)(b); rate formula (3m)(c)1.</t>
  </si>
  <si>
    <t xml:space="preserve">Wis. Stat. § 218.0125</t>
  </si>
  <si>
    <t xml:space="preserve">https://docs.legis.wisconsin.gov/statutes/statutes/218/i/0125 (chapter 218 PDF, updated through 2025 Wis. Act 247, published 9-4-26)</t>
  </si>
  <si>
    <t xml:space="preserve">or who performs any other work required, requested, or approved by the manufacturer, importer, or distributor or for which the manufacturer, importer, or distributor has agreed to pay.</t>
  </si>
  <si>
    <t xml:space="preserve">§ 218.0125(3m)(a)</t>
  </si>
  <si>
    <t xml:space="preserve">shall reasonably compensate a dealer who performs work to rectify the product or warranty defects of the manufacturer, importer, or distributor</t>
  </si>
  <si>
    <t xml:space="preserve">Average labor rate = total labor sales ÷ total hours that generated them, from 100 sequential nonwarranty customer-pay ROs or 90 consecutive days, within 180 days. The rate is presumed reasonable and takes effect 30 days after the manufacturer approves it; if the manufacturer does not rebut within 30 days, it is deemed approved. The manufacturer can rebut only for fraud, inaccuracy, noncompliance, or unreasonableness against all other same-line dealers in an economically similar area, and bears the burden in circuit court. One demand per 12 months.</t>
  </si>
  <si>
    <t xml:space="preserve">The manufacturer shall use time allowances for the diagnosis and performance of the warranty and recall work and services that are reasonable and adequate for the work or services to be performed by a qualified technician.</t>
  </si>
  <si>
    <t xml:space="preserve">§ 17A-6A-8a(m)(1); see (a)(3), (e)</t>
  </si>
  <si>
    <t xml:space="preserve">W. Va. Code § 17A-6A-8a</t>
  </si>
  <si>
    <t xml:space="preserve">https://code.wvlegislature.gov/17A-6A-8a/</t>
  </si>
  <si>
    <t xml:space="preserve">Compensate the motor vehicle dealer for warranty and factory recall service required of the dealer by the manufacturer, distributor or wholesaler, factory branch or distributor branch</t>
  </si>
  <si>
    <t xml:space="preserve">§ 17A-6A-8a(a)(2)</t>
  </si>
  <si>
    <t xml:space="preserve">fail to adequately and fairly compensate the dealers for labor, time, or rate, parts, and other expenses incurred by the dealer to perform under and comply with manufacturer's warranty agreements and factory recalls</t>
  </si>
  <si>
    <t xml:space="preserve">§ 17A-6A-8a(b)(1)</t>
  </si>
  <si>
    <t xml:space="preserve">pay its dealers an amount of money for warranty or recall work that is less than that charged by the dealer to the retail customers of the dealer for nonwarranty and nonrecall work of the like kind</t>
  </si>
  <si>
    <t xml:space="preserve">§ 17A-6A-8a(b)(2)</t>
  </si>
  <si>
    <t xml:space="preserve">The rate is set by mutual agreement or by dealer submission. Rate = total labor charged on qualified ROs ÷ 'total number of hours worked' on those ROs, from 100 sequential qualified ROs or 90 consecutive days, whichever is less, within 180 days. It takes effect 45 days after receipt unless the manufacturer requests more ROs or contests it (material incompleteness, inaccuracy or unreasonableness). A contest goes to 60 days of mediation, then court, where the manufacturer bears the burden. One submission per 12 months.</t>
  </si>
  <si>
    <t xml:space="preserve">Time allowances for the diagnosis and performance of warranty work and service shall be reasonable and adequate for the work to be performed. The hourly labor rate charged by the dealer for warranty service shall not exceed the hourly labor…</t>
  </si>
  <si>
    <t xml:space="preserve">§ 31-16-117(b); see (a)</t>
  </si>
  <si>
    <t xml:space="preserve">Wyo. Stat. Ann. § 31-16-117</t>
  </si>
  <si>
    <t xml:space="preserve">https://wyoleg.gov/statutes/compress/title31.pdf (official Title 31 compilation) plus enrolled act https://wyoleg.gov/2025/Enroll/SF0106.pdf</t>
  </si>
  <si>
    <t xml:space="preserve">enters into a contract with a motor vehicle, medium duty or heavy duty truck dealer which authorizes the dealer to perform warranty or other services on products produced or distributed.</t>
  </si>
  <si>
    <t xml:space="preserve">§ 31-16-117(e)</t>
  </si>
  <si>
    <t xml:space="preserve">Complete engine and transmission assemblies replaced under warranty or other new vehicle manufacturer reimbursed repairs.</t>
  </si>
  <si>
    <t xml:space="preserve">§ 31-16-117(r)(ii)</t>
  </si>
  <si>
    <t xml:space="preserve">A new vehicle dealer may establish an hourly labor rate or a retail parts markup rate charged for warranty repairs to be included in the manufacturer's schedule of compensation</t>
  </si>
  <si>
    <t xml:space="preserve">§ 31-16-117(f)</t>
  </si>
  <si>
    <t xml:space="preserve">Payment trigger</t>
  </si>
  <si>
    <t xml:space="preserve">Dealer filing deadline</t>
  </si>
  <si>
    <t xml:space="preserve">Resubmission rights</t>
  </si>
  <si>
    <t xml:space="preserve">Denial requirements</t>
  </si>
  <si>
    <t xml:space="preserve">Claims quote</t>
  </si>
  <si>
    <t xml:space="preserve">Claims pinpoint</t>
  </si>
  <si>
    <t xml:space="preserve">Fraud extension</t>
  </si>
  <si>
    <t xml:space="preserve">Chargeback limits</t>
  </si>
  <si>
    <t xml:space="preserve">Chargeback quote</t>
  </si>
  <si>
    <t xml:space="preserve">Chargeback pinpoint</t>
  </si>
  <si>
    <t xml:space="preserve">Rate resubmission frequency</t>
  </si>
  <si>
    <t xml:space="preserve">Rate formula</t>
  </si>
  <si>
    <t xml:space="preserve">Excluded from sample</t>
  </si>
  <si>
    <t xml:space="preserve">Exclusions (statute wording)</t>
  </si>
  <si>
    <t xml:space="preserve">New rate effective</t>
  </si>
  <si>
    <t xml:space="preserve">Rate quote</t>
  </si>
  <si>
    <t xml:space="preserve">Rate pinpoint</t>
  </si>
  <si>
    <t xml:space="preserve">Challenge standard</t>
  </si>
  <si>
    <t xml:space="preserve">Challenge method</t>
  </si>
  <si>
    <t xml:space="preserve">Dispute forum</t>
  </si>
  <si>
    <t xml:space="preserve">Response quote</t>
  </si>
  <si>
    <t xml:space="preserve">Response pinpoint</t>
  </si>
  <si>
    <t xml:space="preserve">Private remedies</t>
  </si>
  <si>
    <t xml:space="preserve">Admin sanctions</t>
  </si>
  <si>
    <t xml:space="preserve">Penalty cites</t>
  </si>
  <si>
    <t xml:space="preserve">All cites</t>
  </si>
  <si>
    <t xml:space="preserve">Notes</t>
  </si>
  <si>
    <t xml:space="preserve">after approval</t>
  </si>
  <si>
    <t xml:space="preserve">within 90 days after the dealer completes the work</t>
  </si>
  <si>
    <t xml:space="preserve">The dealer may correct and resubmit a disapproved claim within 30 days after receiving the disapproval notice.</t>
  </si>
  <si>
    <t xml:space="preserve">Written or electronic notice stating the reasons for disapproval. A claim for a condition discovered and properly repaired during a separate repair may not be denied if the dealer documents the need.</t>
  </si>
  <si>
    <t xml:space="preserve">If a manufacturer does not disapprove a claim as required by this subsection, the claim is considered approved. The manufacturer shall pay the claim within 30 days after the approval of the claim.</t>
  </si>
  <si>
    <t xml:space="preserve">AS 45.25.200(c); see (a), (b), (d)</t>
  </si>
  <si>
    <t xml:space="preserve">If the manufacturer reasonably suspects fraud, it may audit for fraudulent claims during any period in which a fraud action may be commenced.</t>
  </si>
  <si>
    <t xml:space="preserve">The audit must be initiated within 1 year after the claim was paid, and there may be no more than one warranty audit per calendar year. The statute limits audits and says nothing separately about chargebacks.</t>
  </si>
  <si>
    <t xml:space="preserve">A manufacturer may not initiate or conduct an audit to determine the validity of paid claims for new motor vehicle dealer warranty work unless the manufacturer initiates the audit within one year after the payment of the claim.</t>
  </si>
  <si>
    <t xml:space="preserve">AS 45.25.200(e); see (g)</t>
  </si>
  <si>
    <t xml:space="preserve">Discounted / promotional; Routine maintenance; Tires; Prep / reconditioning; Insurance-paid; Other (see text)</t>
  </si>
  <si>
    <t xml:space="preserve">(f) Excluded 'in the calculation of the rates': (1) manufacturer special events, specials, promotional discounts; (2) parts sold at wholesale [OTHER]; (3) routine maintenance not covered under warranty (fluids, filters, belts) unless done in the course of a repair; (4) nuts, bolts, fasteners without individual part numbers [OTHER]; (5) tires, batteries and light bulbs [batteries/bulbs = OTHER]; (6) vehicle reconditioning; (7) body-repair ROs paid by an insurer (only insurer-paid body work is excluded).</t>
  </si>
  <si>
    <t xml:space="preserve">Deemed approved if not disapproved within 30 days after submission. (g) also says the markup may not take effect more than 30 days after approval.</t>
  </si>
  <si>
    <t xml:space="preserve">Unless otherwise agreed to by the manufacturer and the new motor vehicle dealer, the schedule of compensation may not contain (1) rates less than the rates that the new motor vehicle dealer charges retail customers for similar nonwarranty service work</t>
  </si>
  <si>
    <t xml:space="preserve">AS 45.25.210(c)(1); see (d), (f), (i), (j)</t>
  </si>
  <si>
    <t xml:space="preserve">The rate is materially miscalculated, or unreasonable compared to other similarly situated new motor vehicle dealers in Alaska.</t>
  </si>
  <si>
    <t xml:space="preserve">Disapproval within 30 days. The statute sets no content requirements for the disapproval.</t>
  </si>
  <si>
    <t xml:space="preserve">Alaska courts, with venue in the dealer's judicial district (AS 45.25.020). Arbitration only if both parties agree (AS 45.25.190).</t>
  </si>
  <si>
    <t xml:space="preserve">If a manufacturer does not disapprove the dealer's proposed rate within 30 days after the new motor vehicle dealer submits the rate application, then the dealer's proposed rate shall be considered approved.</t>
  </si>
  <si>
    <t xml:space="preserve">AS 45.25.210(g); see (h)</t>
  </si>
  <si>
    <t xml:space="preserve">No express damages or fee-shifting provision for AS 45.25.010-.310. Disputes are heard in Alaska courts (45.25.020), with optional arbitration (45.25.190). The UTPA cross-reference, AS 45.50.471(b)(43), reaches only AS 45.25.400-.590 (dealer practices).</t>
  </si>
  <si>
    <t xml:space="preserve">None found. Ch. 45.25 has no manufacturer-licensing sanction.</t>
  </si>
  <si>
    <t xml:space="preserve">AS 45.25.020, 45.25.190; AS 45.50.471(b)(43)</t>
  </si>
  <si>
    <t xml:space="preserve">AS 45.25.210; AS 45.25.200 (claims, audits); AS 45.25.020, 45.25.190 (forum)</t>
  </si>
  <si>
    <t xml:space="preserve">https://www.akleg.gov/basis/statutes.asp?media=print&amp;secStart=45.25.200&amp;secEnd=45.25.320</t>
  </si>
  <si>
    <t xml:space="preserve">Both floors in (c), the retail rate and the independent-labor-time-guide time, apply only 'unless otherwise agreed'. Manufacturers may not recover warranty costs through surcharges or fees (45.25.300(8)). The chapter's 'motor vehicle' excludes motor homes, recreational vehicles (incl. ATVs and snow machines) and motorcycles (45.25.990(12)). Current akleg print shows only the heading for 45.25.320 (repealed 2018). A separate incentive-audit window is in 45.25.200(f).</t>
  </si>
  <si>
    <t xml:space="preserve">After neglect, oversight or mistake, the dealer may file an amended claim, or a claim it missed filing within the warrantor's time limit, up to 120 days from the date the claim was first submitted or could have been submitted.</t>
  </si>
  <si>
    <t xml:space="preserve">The disapproval must be specific and in writing. Preauthorized claims may not be disapproved. A claim may not be unreasonably denied only for an incidental clerical or administrative error; a denial must rest on a material defect and deviation from the manufacturer's reasonable written claim-submission requirements.</t>
  </si>
  <si>
    <t xml:space="preserve">any claim not specifically disapproved in writing within 30 days after the receipt shall be construed to be approved and payment must follow within 30 days.</t>
  </si>
  <si>
    <t xml:space="preserve">§ 8-20-7(e)</t>
  </si>
  <si>
    <t xml:space="preserve">No longer period for fraud. The statute gives the audit and chargeback right only for 'fraudulent claims', and only for 12 months.</t>
  </si>
  <si>
    <t xml:space="preserve">The warrantor may audit and charge back only fraudulent claims, for up to 12 months from the date the claim was paid. The statute grants no other chargeback ground. § 8-20-4(3)u has a parallel rule for incentive claims.</t>
  </si>
  <si>
    <t xml:space="preserve">the warrantor retains the right to audit such claims and to charge back the dealer for any fraudulent claims for a period not to exceed 12 months from the date the claim was paid.</t>
  </si>
  <si>
    <t xml:space="preserve">total charges for labor from the qualified repairs submitted ÷ total number of hours that produced those charges</t>
  </si>
  <si>
    <t xml:space="preserve">Discounted / promotional; Internal; Routine maintenance; Accessories; Tires; Alignments; Prep / reconditioning; State inspections; Government; Collision / body / glass; Insurance-paid; Goodwill; Other (see text)</t>
  </si>
  <si>
    <t xml:space="preserve">(5)a. manufacturer/distributor discounts (special events, specials, promotions, coupons, service campaigns); b. dealer-owned vehicles; c. routine maintenance incl. fluids, filters, batteries, bulbs, belts, nuts, bolts, fasteners (unless related to a qualified repair); d. accessory installations; e. tires, wheels, alignments, rotations, brake drums/rotors/shoes/pads [OTHER = brake parts]; f. reconditioning; g. legally required safety/emission inspections; h. repairs with negotiated government volume discounts; i. body shop repairs incl. insurance-covered (collision, road hazard, elements, vandalism, theft, negligence); j. parts without individual part numbers [OTHER]; k. warrantor-approved goodwill; l. window replacement, etching, tint, protective film, masking [OTHER].</t>
  </si>
  <si>
    <t xml:space="preserve">45 days after the warrantor receives the submission, unless the warrantor timely rebuts it</t>
  </si>
  <si>
    <t xml:space="preserve">The dealer shall calculate its labor rate by determining the total charges for labor from the qualified repairs submitted and dividing that amount by the total number of hours that produced the charges.</t>
  </si>
  <si>
    <t xml:space="preserve">§ 8-20-7(f)(3); see (f)(2) (sample), (f)(4) (frequency), (f)(5) (exclusions)</t>
  </si>
  <si>
    <t xml:space="preserve">Within 45 days the warrantor must reasonably substantiate that the submission is materially incomplete, materially inaccurate, or materially unreasonable. One relevant factor is the prevailing wage rates paid by similarly situated dealers in the state ((f)(8)).</t>
  </si>
  <si>
    <t xml:space="preserve">One rebuttal only, with a full explanation, evidence for each reason, a copy of all calculations and a proposed adjusted rate. The rebuttal cannot be expanded later except for new information. If the rate is substantially higher or lower than the rate on record, the warrantor may request ROs for 60 days before or after the submitted period, and then has 45 days from receiving them to rebut.</t>
  </si>
  <si>
    <t xml:space="preserve">Court action by the dealer within 120 days of the written rejection. The warrantor bears the burden by a preponderance. A dealer win is retroactive to 45 days after the original submission.</t>
  </si>
  <si>
    <t xml:space="preserve">The submitted parts markup or labor rate shall go into effect 45 days after the warrantor’s receipt of its submission, unless, within that period, the warrantor reasonably substantiates that the submission is materially incomplete, materially inaccurate, or is materially unreasonable</t>
  </si>
  <si>
    <t xml:space="preserve">§ 8-20-7(f)(6)a.; see (f)(6)b., (f)(7), (f)(8)</t>
  </si>
  <si>
    <t xml:space="preserve">Civil action to enjoin violations and recover damages plus costs, including a reasonable attorney's fee (§ 8-20-11). Four-year limitations period, with accrual on discovery (§ 8-20-12). Rate disputes go to court under § 8-20-7(f)(7).</t>
  </si>
  <si>
    <t xml:space="preserve">None in ch. 20. The chapter has no licensing-agency sanction provision.</t>
  </si>
  <si>
    <t xml:space="preserve">Ala. Code §§ 8-20-11, 8-20-12, 8-20-7(f)(7)</t>
  </si>
  <si>
    <t xml:space="preserve">Ala. Code § 8-20-7; Ala. Code § 8-20-7(e) (claims, audit/chargeback); Ala. Code §§ 8-20-11, 8-20-12 (remedies, limitations)</t>
  </si>
  <si>
    <t xml:space="preserve">The retail-rate floor in (c) does not apply to motor-home residential components or to 'parts related to motorcycle repairs'. 'Warranty work' covers new-vehicle warranty, recall and CPO warranty ((a)(6)). § 8-20-7.1 (recall/stop-sale claims) applies the § 8-20-7 claim rules but cites 'subsection (d)'; the claim rules are actually in (e). Both the chargeback window and the audit right are limited to FRAUDULENT claims.</t>
  </si>
  <si>
    <t xml:space="preserve">The dealer may correct and resubmit a disapproved claim within 30 days of receiving the disapproval.</t>
  </si>
  <si>
    <t xml:space="preserve">Written notice within the 30-day period stating the specific grounds. A claim may not be disapproved for a clerical error that does not make the claim amount incorrect, including errors from the manufacturer's prior-approval process. The dealer may contest a disapproval through the manufacturer's appeals process.</t>
  </si>
  <si>
    <t xml:space="preserve">Any claims not specifically disapproved in writing within thirty (30) days from their submission shall be deemed approved, and payment shall follow within thirty (30) days.</t>
  </si>
  <si>
    <t xml:space="preserve">§ 23-112-313(e)(2)(B); see (e)(1)-(3) and § 23-112-310(d)(2)(A)-(B) (pay within 30 days following approval)</t>
  </si>
  <si>
    <t xml:space="preserve">A fraudulent claim may be charged back within 2 years of the claim date, but only if the manufacturer establishes the fraud in an Arkansas court.</t>
  </si>
  <si>
    <t xml:space="preserve">Audits must occur within 1 year from payment or credit. Only false or unsubstantiated claims may be charged back. The dealer may appeal a chargeback to the Motor Vehicle Commission within 90 days of notice. The chargeback cannot be levied until the appeal is resolved, and the hearing must be held within 120 days.</t>
  </si>
  <si>
    <t xml:space="preserve">Audit the claims within a one-year period from the date the claim was paid or credit issued by the manufacturer or franchiser; and (iii) Charge back any false or unsubstantiated claims.</t>
  </si>
  <si>
    <t xml:space="preserve">§ 23-112-313(e)(4)(A)(ii)-(iii); see (e)(4)(C)-(D)</t>
  </si>
  <si>
    <t xml:space="preserve">dealer's total labor sales from qualified ROs ÷ total labor hours that generated those labor charges</t>
  </si>
  <si>
    <t xml:space="preserve">Routine maintenance; Tires; Other (see text)</t>
  </si>
  <si>
    <t xml:space="preserve">Routine maintenance is excluded from qualified ROs. § 313(f) defines 'routine maintenance' as upkeep not covered under warranty, including tire rotations and replacement of tires, fluids, filters, batteries (other than EV/hybrid propulsion batteries), belts, windshield wipers and brake pads [brake pads/batteries/wipers = OTHER]. No other categories are listed.</t>
  </si>
  <si>
    <t xml:space="preserve">The statute sets no effective-date rule. A change request is approved if the manufacturer does not act within 45 days.</t>
  </si>
  <si>
    <t xml:space="preserve">The motor vehicle dealer shall calculate the labor rate by dividing the amount of the motor vehicle dealer's total labor sales from any qualified repair orders by the total labor hours that generated the labor charges</t>
  </si>
  <si>
    <t xml:space="preserve">§ 23-112-313(c)(4); see (c)(6), (f)</t>
  </si>
  <si>
    <t xml:space="preserve">The retail-rate floor applies only 'provided the rate is reasonable compared to other same line-make dealers in the dealer's relevant market area or the dealer's competitive market area' (§ 310(d)(1)(A)). § 313(c)(3) adds 'provided the rate is reasonable'.</t>
  </si>
  <si>
    <t xml:space="preserve">Approve or disapprove within 45 days. If the ROs show a rate substantially higher or lower than the rate on record, the manufacturer may request additional documentation covering 45 days before or after the submitted period.</t>
  </si>
  <si>
    <t xml:space="preserve">Not specified for rate disputes. Commission hearings (§ 23-112-501 et seq.) are named only for chargeback appeals; the damages action is in § 23-112-105.</t>
  </si>
  <si>
    <t xml:space="preserve">A request submitted under subdivision (d)(1)(D)(i) of this section is approved if a manufacturer, distributor, distributor branch or division, or factory or division branch fails to approve or disapprove the request within forty-five (45) days</t>
  </si>
  <si>
    <t xml:space="preserve">§ 23-112-310(d)(1)(D)(ii); see (d)(1)(A), (D)(i), (D)(iii)</t>
  </si>
  <si>
    <t xml:space="preserve">A licensee suffering pecuniary loss from another licensee's willful failure to comply may recover reasonable damages and attorney's fees (§ 23-112-105(a)). A dealer that prevails against a manufacturer also has an action for attorney's fees (§ 23-112-105(b)).</t>
  </si>
  <si>
    <t xml:space="preserve">The Commission may deny, suspend or revoke a license if a manufacturer 'failed to properly fulfill any warranty agreement or to adequately and fairly compensate' dealers (§ 23-112-308). A monetary penalty may be imposed instead: up to $10,000 in place of revocation, or $50-$500 per day capped at $5,000 in place of suspension. Each instance is a separate violation (§ 23-112-309).</t>
  </si>
  <si>
    <t xml:space="preserve">Ark. Code Ann. §§ 23-112-105, 23-112-308, 23-112-309</t>
  </si>
  <si>
    <t xml:space="preserve">Ark. Code Ann. § 23-112-313; Ark. Code Ann. § 23-112-310(d) (rate floor, rate-change requests, claim payment); Ark. Code Ann. §§ 23-112-105, 23-112-308, 23-112-309 (remedies/sanctions)</t>
  </si>
  <si>
    <t xml:space="preserve">https://arkleg.state.ar.us/Acts/FTPDocument?path=%2FACTS%2F2021R%2FPublic%2F&amp;file=1077.pdf&amp;ddBienniumSession=2021%2F2021R</t>
  </si>
  <si>
    <t xml:space="preserve">Current text comes from Justia's 2025 code (mirror). Every quote was matched to an official enrolled act or edition: Act 756/2009 § 12 (rewrote § 313(e)), Act 1077/2021 §§ 4, 6 (§ 310(d)(1), § 313(c)), Act 515/2023, and the 2011 Official Edition PDF on labor.arkansas.gov (§§ 23-112-105, -308, -310(d)(2)). § 313(e)(1) literally reads claims 'shall be either approved or disapproved within thirty (30) days following their approval or disapproval', a drafting glitch; the operative clocks are (e)(2)(B) and § 310(d)(2). Justia marks § 23-112-308 as 'Effective until August 5, 2025'; the post-8/5/2025 version was not read. Motorcycles/ATVs have a separate floor (§ 310(d)(1)(C)). Motor-home/RV warrantor rules are in subchapter 10 (e.g., § 23-112-1016). No frequency limit on rate requests was found.</t>
  </si>
  <si>
    <t xml:space="preserve">If a claim is rejected for an incidental processing requirement, the dealer may correct or complete and resubmit it within 60 days after receiving first notice of the failure.</t>
  </si>
  <si>
    <t xml:space="preserve">Disapproval must be in writing or by electronic transmission. A properly submitted claim may not be denied solely for an incidental failure to meet a claim-processing requirement that does not question the claim's legitimacy.</t>
  </si>
  <si>
    <t xml:space="preserve">Any claim not disapproved in writing or by means of electronic transmission within thirty days after receipt is deemed approved, and payment must be made within thirty days after approval.</t>
  </si>
  <si>
    <t xml:space="preserve">§ 28-4451(I); see (L)</t>
  </si>
  <si>
    <t xml:space="preserve">The 12-month limit does not apply if the manufacturer reasonably suspects fraud.</t>
  </si>
  <si>
    <t xml:space="preserve">Audits must be 'reasonable and periodic'. A chargeback is allowed only after the dealer has had notice and a chance to use any available manufacturer mediation, and after all legal appeals are exhausted if mediation fails.</t>
  </si>
  <si>
    <t xml:space="preserve">Audits shall only be for the twelve month period immediately following the date of the payment. This limitation does not apply if the manufacturer, factory branch, distributor or distributor branch reasonably suspects fraud.</t>
  </si>
  <si>
    <t xml:space="preserve">§ 28-4451(G)</t>
  </si>
  <si>
    <t xml:space="preserve">dealer's total labor sales in the submitted ROs ÷ total labor hours that generated those sales</t>
  </si>
  <si>
    <t xml:space="preserve">Discounted / promotional; Engine / transmission assembly; Routine maintenance; Prep / reconditioning; Other (see text)</t>
  </si>
  <si>
    <t xml:space="preserve">(F) 1. manufacturer/distributor special events, specials, promotional discounts; 2. parts sold at wholesale [OTHER]; 3. engine and transmission assemblies, if the dealer agrees to a handling charge instead of retail markup; 4. routine maintenance not covered under any retail customer warranty (fluids, filters, belts) not provided in the course of repairs; 5. nuts, bolts, fasteners without individual part numbers [OTHER]; 6. vehicle reconditioning.</t>
  </si>
  <si>
    <t xml:space="preserve">30 days after the manufacturer receives the declaration, unless it sends a timely rebuttal</t>
  </si>
  <si>
    <t xml:space="preserve">The new motor vehicle dealer's retail labor rate shall be determined by dividing the amount of the dealer's total labor sales contained in the submitted repair orders by the total number of labor hours that generated those sales.</t>
  </si>
  <si>
    <t xml:space="preserve">§ 28-4451(E); see (F), (K)</t>
  </si>
  <si>
    <t xml:space="preserve">Declared rates are presumed fair and reasonable. To rebut, the manufacturer must reasonably substantiate that the rate is inaccurate or unreasonable compared to other similarly situated same line-make new motor vehicle dealers in Arizona.</t>
  </si>
  <si>
    <t xml:space="preserve">Send the rebuttal and propose an adjusted rate within 30 days after receiving the submission. Under (K) the manufacturer may use the submitted ROs to validate current rates, may require re-validation no more than once every 12 months, and may reduce the rate prospectively if the dealer's retail rate has declined.</t>
  </si>
  <si>
    <t xml:space="preserve">Dealer protest to the ADOT director within 30 days after receiving the proposal. An ALJ hearing is held within 75 days of the hearing order, after any available manufacturer mediation. Appeal to superior court under title 12, ch. 7, art. 6, with a bond.</t>
  </si>
  <si>
    <t xml:space="preserve">within thirty days after receiving the new motor vehicle dealer's submission, may rebut the presumption by reasonably substantiating that the rate or rates are inaccurate or unreasonable compared to other similarly situated same line-make new motor vehicle dealers</t>
  </si>
  <si>
    <t xml:space="preserve">§ 28-4451(E); see (K), (O)-(T)</t>
  </si>
  <si>
    <t xml:space="preserve">Rate disputes go through the director's protest and ALJ process, with judicial review (§ 28-4451(E), (O)-(T)). No express private damages provision was found in §§ 28-4451 to 28-4464.</t>
  </si>
  <si>
    <t xml:space="preserve">The ADOT director may suspend or cancel the license of a licensee that 'has violated or is violating a law of this state' (§ 28-4493(A)(3)). Injunction action against a licensee in Maricopa County superior court (§ 28-4497).</t>
  </si>
  <si>
    <t xml:space="preserve">A.R.S. §§ 28-4451(O)-(T), 28-4493(A)(3), 28-4497</t>
  </si>
  <si>
    <t xml:space="preserve">A.R.S. § 28-4451(C)-(F), (K); A.R.S. § 28-4451(G)-(I), (L) (audits, claims); A.R.S. §§ 28-4493, 28-4497 (license sanctions, injunction)</t>
  </si>
  <si>
    <t xml:space="preserve">(K) works in both directions: the manufacturer may lower the reimbursement rate going forward if the dealer's retail rate falls. Time allowances must be 'reasonable and adequate' ((D)). No-cost parts are paid at the retail parts rate ((J)). Stop-sale compensation is 1.5%/month and recall claims use the same 30/30 deemed-approval rule ((U)-(Y)). § 28-4464: the article does not apply to manufacturers that have never used franchised dealers. The 2024 HB 2410 amendments did not change the labor-rate text.</t>
  </si>
  <si>
    <t xml:space="preserve">A reasonable appeal process giving at least 30 days after the written disapproval to rebut, and at least 30 days to cure documentation or administrative noncompliance. A 'Final Denial' notice is due within 30 days after the appeal ends. The dealer may file a Board protest within 6 months.</t>
  </si>
  <si>
    <t xml:space="preserve">Written notice stating specific grounds. Disapproval is allowed only if the claim is false or fraudulent, the repairs were not properly made, the repairs were inappropriate because of the franchisee's improper act or omission, or there was material noncompliance with reasonable, nondiscriminatory documentation or administrative requirements.</t>
  </si>
  <si>
    <t xml:space="preserve">within 30 days from receipt by the franchisor shall be deemed approved on the 30th day. All claims made by franchisees under this section and Section 3064 for labor and parts shall be paid within 30 days after approval.</t>
  </si>
  <si>
    <t xml:space="preserve">§ 3065(d)(1); see (d)(2)-(6)</t>
  </si>
  <si>
    <t xml:space="preserve">For a false claim submitted with intent to defraud, a longer audit and chargeback period is allowed only if the franchisor obtains a Board order.</t>
  </si>
  <si>
    <t xml:space="preserve">Audits on a reasonable basis, never punitive, retaliatory or discriminatory, and no more than one random audit per 9 months. Chargeback grounds are the same as the denial grounds. No extrapolation unless the sample is random and statistically valid. Written notice within 30 days after the audit, then at least 30 days to rebut or cure. No chargeback until 45 days after the notice, and it must be taken within 90 days. Chargebacks are stayed while a Board protest (filed within 6 months) is pending.</t>
  </si>
  <si>
    <t xml:space="preserve">Audits of franchisee warranty records may be conducted by the franchisor on a reasonable basis for a period of nine months after a claim is paid or credit issued.</t>
  </si>
  <si>
    <t xml:space="preserve">§ 3065(e)(1); see (e)(2)-(6), (f)</t>
  </si>
  <si>
    <t xml:space="preserve">total charges for labor from the qualified ROs submitted ÷ total number of hours that generated those charges</t>
  </si>
  <si>
    <t xml:space="preserve">Discounted / promotional; Routine maintenance; Prep / reconditioning; Accessories; Collision / body / glass; Insurance-paid; State inspections; Goodwill; Government; Service-contract paid; Tires; Alignments; Internal; Other (see text)</t>
  </si>
  <si>
    <t xml:space="preserve">(c)(1) manufacturer/distributor special events, specials, promotional discounts; (2) parts sold or repairs performed at wholesale [OTHER]; (3) routine maintenance (bulbs, fluids, filters, batteries, belts) not related to a repair; (4) items without individual part numbers [OTHER]; (5) vehicle reconditioning; (6) accessories; (7) repairs of collision, road hazard, elements, vandalism, theft or negligence damage; (8) parts/repairs for insurance carriers; (9) legally required emission inspections; (10) manufacturer-approved goodwill or policy repairs; (11) repairs for government agencies or service contract providers; (12) aftermarket-part repairs (parts rate only) [OTHER]; (13) repairs on aftermarket parts [OTHER]; (14) tires, front-end alignments, wheel/tire rotations; (15) vehicles owned by the franchisee or its employee.</t>
  </si>
  <si>
    <t xml:space="preserve">on the 30th day after the franchisor receives the notice, if uncontested</t>
  </si>
  <si>
    <t xml:space="preserve">The franchisee shall calculate its retail labor rate by determining the total charges for labor from the qualified repair orders submitted and dividing that amount by the total number of hours that generated those charges.</t>
  </si>
  <si>
    <t xml:space="preserve">§ 3065.2(a)(2); see (a)(1), (b), (c), (j)</t>
  </si>
  <si>
    <t xml:space="preserve">Material accuracy only. The notice must be limited to an assertion that the rate is 'materially inaccurate or fraudulent', and the franchisor 'shall not deny' the submission.</t>
  </si>
  <si>
    <t xml:space="preserve">One notification with a full explanation, substantiating evidence, all calculations and a proposed adjusted rate. The notification cannot be expanded later without justification. If the submission is substantially higher than the current warranty rate, the franchisor may request, within 30 days, the ROs from 30 days before or after the sample; time runs from receipt of those ROs. The franchisor pays its proposed adjusted rate until the Board decides.</t>
  </si>
  <si>
    <t xml:space="preserve">New Motor Vehicle Board protest (§ 3065.4), with the burden on the franchisor. The Board may compute arrears from 30 days after the submission. Enforcement in superior court.</t>
  </si>
  <si>
    <t xml:space="preserve">The notification shall be limited to an assertion that the rate is materially inaccurate or fraudulent, and shall provide a full explanation of any and all reasons for the allegation, evidence substantiating the franchisor’s position</t>
  </si>
  <si>
    <t xml:space="preserve">§ 3065.2(d)(1); see (d)(3)-(5), (e); § 3065.4(a)</t>
  </si>
  <si>
    <t xml:space="preserve">Board protests (§§ 3065(d)(6), (e)(6), 3065.4). Superior-court action to enforce a Board rate determination, with injunctive relief and actual reasonable expenses (§ 3065.4(c)). Damages, reasonable attorney fees and injunctive relief for pecuniary loss from a licensee's willful failure to comply with Art. 1, Ch. 4, Div. 5 or a Board decision (§ 11726).</t>
  </si>
  <si>
    <t xml:space="preserve">DMV may suspend or revoke a manufacturer's or distributor's license for willful violation of § 3065 (§ 11705(a)(7)).</t>
  </si>
  <si>
    <t xml:space="preserve">Cal. Veh. Code §§ 3065.4, 11705(a)(7), 11726</t>
  </si>
  <si>
    <t xml:space="preserve">Cal. Veh. Code § 3065; Cal. Veh. Code § 3065.2 (retail labor/parts rate); Cal. Veh. Code §§ 3065.4, 11705(a)(7), 11726</t>
  </si>
  <si>
    <t xml:space="preserve">'Warranty' includes new-vehicle warranty, CPO warranty, TSB and customer-service-campaign repairs during the warranty period, and federal recalls (§ 3065.25(b)). Rates other than retail are allowed only by a voluntary signed agreement that adequately and fairly compensates (§ 3065(b)). Time-allowance change requests may not be unreasonably denied (§ 3065(a)(1)). Retaliation for seeking retail rates is barred (§ 3065.2(i)). Failure to approve or pay on time for reasons beyond the franchisor's reasonable control is not a violation (§ 3065(d)(5)).</t>
  </si>
  <si>
    <t xml:space="preserve">9 months after making the sale or providing the service</t>
  </si>
  <si>
    <t xml:space="preserve">The motor vehicle dealer shall have nine months after making a sale or providing service to submit warranty, sales, or incentive claims to the manufacturer, distributor, or manufacturer representative.</t>
  </si>
  <si>
    <t xml:space="preserve">§ 44-20-135(2). No approval or payment clock was found in part 1; § 44-20-141.5(2) says only that the manufacturer shall 'timely compensate'.</t>
  </si>
  <si>
    <t xml:space="preserve">Subsection (1) does not limit any fraud action brought in court ((3)).</t>
  </si>
  <si>
    <t xml:space="preserve">The window runs from the date the claim was SUBMITTED, not paid. No documentation demand or audit more than 15 months after submission, and no chargeback, reimbursement or credit arising from an audit or document request made more than 9 months after submission. Within 30 days the dealer may ask the DOR executive director to rule; the chargeback is stayed and is void if it violates (1).</t>
  </si>
  <si>
    <t xml:space="preserve">A manufacturer, distributor, or manufacturer representative shall have the right to audit warranty, sales, or incentive claims of a motor vehicle dealer for nine months after the date the claim was submitted.</t>
  </si>
  <si>
    <t xml:space="preserve">§ 44-20-135(1)(a); see (1)(b), (3), (4)</t>
  </si>
  <si>
    <t xml:space="preserve">total nonwarranty labor sales from the submitted nonwarranty repairs ÷ total labor hours that generated those sales</t>
  </si>
  <si>
    <t xml:space="preserve">Discounted / promotional; Routine maintenance; Tires; Internal; Prep / reconditioning; Goodwill; State inspections; Fleet; Government; Insurance-paid; Other (see text)</t>
  </si>
  <si>
    <t xml:space="preserve">(4)(c)(I) manufacturer/dealer special events, one-time specials, express service [OTHER], quoted-price promotional discounts; broad dealer discounts such as percentage-off coupons are NOT excluded; (II) parts sold at wholesale [OTHER]; (III) routine maintenance incl. fluids, filters, batteries, bulbs, nuts, bolts, fasteners, tires, belts; (IV) items without individual part numbers [OTHER]; (V) vehicles owned by the dealer, an affiliate, or an employee of either; (VI) dealer reconditioning; (VII) window tint, protective film, masking products, window replacement labor [OTHER]; (VIII) manufacturer-approved and reimbursed goodwill; (IX) legally required emission inspections; (X) legally required safety inspections; (XI) volume-discounted third-party payers incl. government agencies, insurance carriers and fleet operators, but NOT third-party warranty or service contract companies.</t>
  </si>
  <si>
    <t xml:space="preserve">45 days after the manufacturer receives the submission if uncontested. A rate set by a court or the executive director is retroactive to 30 days after the manufacturer received the submission.</t>
  </si>
  <si>
    <t xml:space="preserve">A motor vehicle dealer may establish the retail labor rate and the retail parts markup percentage by submitting to the manufacturer either of the following as decided by the motor vehicle dealer:</t>
  </si>
  <si>
    <t xml:space="preserve">§ 44-20-141.5(3)(a); see (3)(c)-(d), (4)(a), (4)(c), (5)(b)</t>
  </si>
  <si>
    <t xml:space="preserve">Material inaccuracy only. SB 23-078 removed the 'substantially different from similarly situated dealers' ground.</t>
  </si>
  <si>
    <t xml:space="preserve">Notice within 45 days with an explanation, substantiating evidence and a proposed adjustment. Reasons may be modified on new information, without changing the deadlines. If the calculated rates are 10% higher or lower than current rates, the manufacturer may request additional ROs for the 90 days before or after. The manufacturer keeps paying the prior rates while the contest is pending. Periodic review of records is limited to once per calendar year and is not an audit ((5)(d)).</t>
  </si>
  <si>
    <t xml:space="preserve">The dealer files a complaint in a court of competent jurisdiction or with the DOR executive director within 60 days after receiving the challenge. The result is retroactive, and the court awards the prevailing party attorney fees and costs.</t>
  </si>
  <si>
    <t xml:space="preserve">is deemed materially inaccurate, a manufacturer may contest the motor vehicle dealer’s submitted calculations of the retail labor rate or retail parts markup percentage by delivering a notice to the motor vehicle dealer within forty-five days</t>
  </si>
  <si>
    <t xml:space="preserve">§ 44-20-141.5(6)(a)(I); see (6)(b)-(d), (3)(c)</t>
  </si>
  <si>
    <t xml:space="preserve">In a rate proceeding the court awards the prevailing party reasonable attorney fees and costs, and a prevailing dealer recovers the full unpaid reimbursement as damages (§ 44-20-141.5(6)(d)). Chargebacks that violate § 44-20-135(1) are void on the executive director's determination (§ 44-20-135(4)).</t>
  </si>
  <si>
    <t xml:space="preserve">A manufacturer's or distributor's license may be denied, suspended or revoked for 'Willful failure to comply with this part 1' (§ 44-20-121(1)(b)). Willfully violating part 1 is a class 2 misdemeanor (§ 44-20-128(1)).</t>
  </si>
  <si>
    <t xml:space="preserve">C.R.S. §§ 44-20-141.5(6)(d), 44-20-135(4), 44-20-121(1)(b), 44-20-128(1)</t>
  </si>
  <si>
    <t xml:space="preserve">C.R.S. § 44-20-141.5; C.R.S. § 44-20-135 (claim filing, audits, chargebacks); C.R.S. §§ 44-20-121(1)(b), 44-20-128 (sanctions)</t>
  </si>
  <si>
    <t xml:space="preserve">https://content.leg.colorado.gov/sites/default/files/2023a_078_signed.pdf</t>
  </si>
  <si>
    <t xml:space="preserve">Current consolidated text was read on Justia (2025 C.R.S.) through the browser, because the official C.R.S. is Lexis-hosted. The 2023 changes were checked against enrolled SB 23-078. The section does not apply to recreational-vehicle dealers or manufacturers ((9)); powersports rules are in § 44-20-439.5. 'Warranty obligation' includes CPO warranty ((1)(g)). The retail-rate sample KEEPS work paid by third-party warranty and service contract companies ((4)(c)(XI)). 'Express service' is excluded. Flat-rate times may not be unreasonable ((7)(a)).</t>
  </si>
  <si>
    <t xml:space="preserve">The dealer may resubmit under reasonable manufacturer guidelines not later than 30 days after the initial denial or charge-back.</t>
  </si>
  <si>
    <t xml:space="preserve">Disapproval must be in writing or by electronic transmission. No denial or charge-back based solely on a claim-processing failure, clerical error or other administrative technicality that does not question the claim's legitimacy. Dealers need keep defective parts no longer than 90 days after submission.</t>
  </si>
  <si>
    <t xml:space="preserve">Any claim not disapproved in writing or by means of electronic transmission not later than thirty days after receipt shall be deemed approved and payment shall be made within thirty days.</t>
  </si>
  <si>
    <t xml:space="preserve">§ 42-133s(j)</t>
  </si>
  <si>
    <t xml:space="preserve">If there is evidence of fraud, the one-year limit does not restrict longer audits or charge-back of any fraudulent claim.</t>
  </si>
  <si>
    <t xml:space="preserve">Charge-back only for false or unsubstantiated claims, within one year after payment. No charge-back after a timely audit based solely on processing, clerical or administrative technicalities.</t>
  </si>
  <si>
    <t xml:space="preserve">manufacturers or distributors retain the right to audit such claims and to charge-back the dealer for false or unsubstantiated claims for a period of one year following payment.</t>
  </si>
  <si>
    <t xml:space="preserve">dealer's total labor sales ÷ total labor hours that generated those sales</t>
  </si>
  <si>
    <t xml:space="preserve">Discounted / promotional; Engine / transmission assembly; Routine maintenance; Tires; Prep / reconditioning; Other (see text)</t>
  </si>
  <si>
    <t xml:space="preserve">(d)(1) manufacturer/distributor special events, specials, promotional discounts; (2) parts sold at wholesale [OTHER]; (3) engine and transmission assemblies; (4) routine maintenance not covered under any retail customer warranty (fluids, filters, belts) not provided in the course of repairs; (5) nuts, bolts, fasteners without individual part numbers [OTHER]; (6) tires; (7) vehicle reconditioning.</t>
  </si>
  <si>
    <t xml:space="preserve">30 days after the declaration, subject to franchisor audit of the submitted ROs and rebuttal</t>
  </si>
  <si>
    <t xml:space="preserve">The retail rate customarily charged by the dealer for labor may be established by submitting to the manufacturer or distributor all nonwarranty customer-paid service repair orders covering repairs made during the month prior to the submission</t>
  </si>
  <si>
    <t xml:space="preserve">§ 42-133s(c); see (d), (f)</t>
  </si>
  <si>
    <t xml:space="preserve">The rate is presumed fair and reasonable. To rebut, the manufacturer must reasonably substantiate that it is 'unfair and unreasonable in light of the practices of all other franchised motor vehicle dealers in the vicinity offering the same line-make vehicles'.</t>
  </si>
  <si>
    <t xml:space="preserve">Rebut within 30 days after submission and propose an adjusted average labor rate within 30 days after submission. The manufacturer may audit the submitted ROs.</t>
  </si>
  <si>
    <t xml:space="preserve">Dealer protest to the DMV Commissioner within 30 days after receiving the proposal. A hearing follows, with the burden on the manufacturer.</t>
  </si>
  <si>
    <t xml:space="preserve">a manufacturer or distributor may, not later than thirty days after submission, rebut such presumption by reasonably substantiating that such rate is unfair and unreasonable in light of the practices of all other franchised motor vehicle dealers in the vicinity</t>
  </si>
  <si>
    <t xml:space="preserve">§ 42-133s(c)</t>
  </si>
  <si>
    <t xml:space="preserve">Civil action in Superior Court for an injunction, actual damages, costs and a reasonable attorney's fee (§ 42-133ee).</t>
  </si>
  <si>
    <t xml:space="preserve">After a hearing, the DMV Commissioner may suspend or revoke a manufacturer's license, or impose a civil penalty of up to $3,000 per violation, for failure to comply with §§ 42-133r to 42-133dd (§ 14-67c).</t>
  </si>
  <si>
    <t xml:space="preserve">Conn. Gen. Stat. §§ 42-133ee, 14-67c</t>
  </si>
  <si>
    <t xml:space="preserve">Conn. Gen. Stat. § 42-133s; Conn. Gen. Stat. § 42-133ee (civil action); Conn. Gen. Stat. § 14-67c (manufacturer license sanctions)</t>
  </si>
  <si>
    <t xml:space="preserve">https://www.cga.ct.gov/current/pub/chap_739.htm</t>
  </si>
  <si>
    <t xml:space="preserve">Time allowances must be 'reasonable and adequate' ((h)). No cost recovery through surcharges ((g)). No-cost parts are paid at the average markup ((e)). The labor sample is a full prior month of customer-pay ROs, which is unusual. P.A. 26-24 (effective 10/1/2026) also replaces the § 42-133r definitions (§ 20) and amends §§ 42-133bb and 42-133cc (facility rules). § 20 was not reviewed for effects on warranty scope.</t>
  </si>
  <si>
    <t xml:space="preserve">The manufacturer must allow at least 180 days for claim submission.</t>
  </si>
  <si>
    <t xml:space="preserve">Disapproval must be specific and in writing. No denial or reduction if the dealer documents a good-faith attempt to follow the manufacturer's reasonable written policies and that the work was actually performed. No denial or chargeback for a dealer administrative error. A documentation-procedure chargeback requires the same failure within the prior 12 months AND a certified-mail written warning.</t>
  </si>
  <si>
    <t xml:space="preserve">§ 4903(d)(1); see (a)(1)d., (d)(2)-(3)</t>
  </si>
  <si>
    <t xml:space="preserve">The 180-day limit does not apply to fraudulent claims.</t>
  </si>
  <si>
    <t xml:space="preserve">The window is 180 days after payment (shortened from 1 year in 2024). Chargebacks are allowed only for fraud, unnecessary work, or work not properly performed. No chargeback for administrative error, and documentation-procedure chargebacks are limited as above.</t>
  </si>
  <si>
    <t xml:space="preserve">the manufacturer retains the right to audit such claims and to charge back the dealer for claims due to fraud, work done unnecessarily, or work not properly performed for a period of 180 days following payment.</t>
  </si>
  <si>
    <t xml:space="preserve">§ 4903(d)(1)-(2)</t>
  </si>
  <si>
    <t xml:space="preserve">Discounted / promotional; Fleet; Insurance-paid; Service-contract paid; Government; Tires; Routine maintenance; Alignments; Engine / transmission assembly; Prep / reconditioning; Other (see text)</t>
  </si>
  <si>
    <t xml:space="preserve">(b)(2)a. manufacturer special events and manufacturer discounted service campaigns; b. parts sold at wholesale [OTHER], or parts discounted for group fleet, insurance or other third-party-payer work, or government-agency repairs with negotiated volume discounts; c. tires replaced for normal wear; d. routine maintenance not under warranty, such as alignments, flushes, oil changes, brakes, fluids, filters, belts; e. engine and transmission assemblies; f. vehicle reconditioning; g. batteries other than EV/hybrid propulsion batteries [OTHER]; h. lightbulbs other than LED [OTHER]; i. nuts, bolts, fasteners without part numbers [OTHER].</t>
  </si>
  <si>
    <t xml:space="preserve">Within 30 days after the initial submission. The 30-day clock restarts when the dealer provides any reasonably requested supporting information.</t>
  </si>
  <si>
    <t xml:space="preserve">established by the dealer submitting to the manufacturer 100 sequential customer paid service repair orders or 90 days of customer paid service repair orders, whichever is less, covering like repairs made no more than 180 days before the submission</t>
  </si>
  <si>
    <t xml:space="preserve">§ 4903(b)(1); see (b)(2)</t>
  </si>
  <si>
    <t xml:space="preserve">The declared schedule is presumed fair and reasonable. In a protest, the manufacturer must prove 'the dealer's submission did not meet the respective submission requirements'. This is a compliance-only test with no market comparison.</t>
  </si>
  <si>
    <t xml:space="preserve">Within 30 days the manufacturer may make reasonable requests for supporting information, which restarts the clock. It may not require another methodology or unduly burdensome part-by-part information, and may not retaliate ((b)(3)).</t>
  </si>
  <si>
    <t xml:space="preserve">Public Service Commission protest within 30 days of the denial notice. If the dealer prevails, the increase is retroactive to when it would have taken effect.</t>
  </si>
  <si>
    <t xml:space="preserve">The new schedule of compensation shall take effect within 30 days after the initial submission to the manufacturer and shall be presumed to be fair and reasonable.</t>
  </si>
  <si>
    <t xml:space="preserve">§ 4903(b)(1); see (b)(4)</t>
  </si>
  <si>
    <t xml:space="preserve">Action for damages equal to actual pecuniary loss, plus equitable or injunctive relief, costs and reasonable attorney's fees; the burden shifts after a prima facie showing. Punitive damages for willful or wanton or continued multiple violations, and the court may assess monetary penalties against the manufacturer (§ 4916). Dealer associations have standing (§ 4920). Four-year limitations period (§ 4918).</t>
  </si>
  <si>
    <t xml:space="preserve">None in ch. 49. The PSC hears only rate protests (§ 4903(b)(4)).</t>
  </si>
  <si>
    <t xml:space="preserve">6 Del. C. §§ 4916, 4918, 4920, 4903(b)(4)</t>
  </si>
  <si>
    <t xml:space="preserve">6 Del. C. § 4903; 6 Del. C. § 4916 (civil actions); 6 Del. C. §§ 4918, 4920 (limitations, association standing)</t>
  </si>
  <si>
    <t xml:space="preserve">https://delcode.delaware.gov/title6/c049/index.html</t>
  </si>
  <si>
    <t xml:space="preserve">Since 2024, § 4903 covers predelivery, manufacturer-sponsored maintenance programs, manufacturer extended warranties, CPO warranties, manufacturer-issued service contracts, parts exchange, recall and warranty work ((a)(1)a., (b)). The statute gives no arithmetic formula for the rate. (d)(2) contains a typo ('shall not be effect'). Incentive audits are limited to 180 days after the program ends ((e)). Used-vehicle recall compensation is 1.5%/month of average Black Book value ((g)). No cost recovery through surcharges ((a)(2)).</t>
  </si>
  <si>
    <t xml:space="preserve">after submission</t>
  </si>
  <si>
    <t xml:space="preserve">A claim may be denied, or charged back, only for the portion shown false or fraudulent or not substantially compliant with the licensee's reasonable written, uniformly applied procedures (§ 320.64(25)). No denial, reduction or chargeback because the dealer failed to comply with all of the licensee's claim-description or processing requirements (§ 320.696(2)).</t>
  </si>
  <si>
    <t xml:space="preserve">Compensation not paid to a motor vehicle dealer within 30 days after receipt of a claim is not timely.</t>
  </si>
  <si>
    <t xml:space="preserve">§ 320.696(1)(c); see (2) and § 320.64(25)</t>
  </si>
  <si>
    <t xml:space="preserve">None. After 12 months, payments are 'final and incontrovertible for any reason notwithstanding any otherwise applicable law'.</t>
  </si>
  <si>
    <t xml:space="preserve">No more than one audit per calendar year (§ 320.696(2)). Only the portion proven false or fraudulent, or substantially noncompliant, may be charged back. Within 30 days after the audit, the licensee must meet with the dealer (in person, phone or video) and give a detailed explanation with documentation and the basis for selecting the dealer. The dealer gets at least 45 days to respond, and the chargeback basis cannot change without new information. The dealer may protest to DHSMV within 30 days of the final notice; recovery is stayed, and the licensee bears the burden.</t>
  </si>
  <si>
    <t xml:space="preserve">Audits of warranty, maintenance, and other service-related payments shall be performed by an applicant or licensee only during the 12-month period immediately following the date the claim was paid.</t>
  </si>
  <si>
    <t xml:space="preserve">§ 320.64(25); see § 320.696(2)</t>
  </si>
  <si>
    <t xml:space="preserve">dealer's total labor sales for retail customer repairs ÷ total labor hours that generated those sales, for the month preceding the request (excluding the (4)(c) work)</t>
  </si>
  <si>
    <t xml:space="preserve">Internal; Prep / reconditioning; Fleet; Insurance-paid; Service-contract paid; Government; Discounted / promotional; Warranty / recall; Other (see text)</t>
  </si>
  <si>
    <t xml:space="preserve">(4)(c) internal vehicle repairs; vehicle reconditioning; repairs for group, fleet, insurance or other third-party payors; discounted government-agency repairs; labor used in special events, specials or express service [OTHER]; promotional discounts. The (1)(b) definition of 'retail customer repair' also excludes work under the licensee's or common entity's warranty, extended warranty, CPO warranty, service contract or maintenance plan. Parts-only exclusions are in (3)(b).</t>
  </si>
  <si>
    <t xml:space="preserve">increases are paid retroactively on all claims filed 15 days after the licensee receives the dealer's written request</t>
  </si>
  <si>
    <t xml:space="preserve">dealer’s hourly labor rate for retail customer repairs, determined by dividing the amount of the dealer’s total labor sales for retail customer repairs by the number of total labor hours that generated those sales for the month preceding the request</t>
  </si>
  <si>
    <t xml:space="preserve">§ 320.696(4)(b)1.; see (4)(b)2., (4)(c), (5)</t>
  </si>
  <si>
    <t xml:space="preserve">The statute has no reasonableness or market-comparison challenge. If there is no agreement within 30 days of the dealer's written request, the dealer elects the greater of the two statutory methods. The rate is applied uniformly and can never be below the rate paid on Jan. 2, 2008. The licensee may review or change rates only on the dealer's request or under its own written, predetermined increase schedule ((5)).</t>
  </si>
  <si>
    <t xml:space="preserve">Negotiate an agreed rate within 30 days; otherwise the statutory computation controls. The licensee may not recover its costs ((6)) or try to influence retail prices ((7)).</t>
  </si>
  <si>
    <t xml:space="preserve">DHSMV administrative proceeding (§ 320.699), or court action (§§ 320.695 injunction, 320.697 damages).</t>
  </si>
  <si>
    <t xml:space="preserve">If, however, an agreement is not reached within 30 days after the dealer’s written request, the dealer may choose to be paid the greater of:</t>
  </si>
  <si>
    <t xml:space="preserve">§ 320.696(4)(b); see (5)</t>
  </si>
  <si>
    <t xml:space="preserve">Three times the pecuniary loss, plus costs and a reasonable attorney's fee; the burden shifts to the licensee after a prima facie showing (§ 320.697). Injunction by the department, or by a dealer in the department's name, without bond (§ 320.695). Administrative hearing on dealer request (§ 320.699).</t>
  </si>
  <si>
    <t xml:space="preserve">The license may be denied, suspended or revoked statewide or by location on proof that § 320.64 was violated often enough to show a pattern of wrongdoing. Improper audits and violations of § 320.696 are listed grounds (§ 320.64 intro and (25)).</t>
  </si>
  <si>
    <t xml:space="preserve">Fla. Stat. §§ 320.64, 320.695, 320.697, 320.699</t>
  </si>
  <si>
    <t xml:space="preserve">Fla. Stat. § 320.696; Fla. Stat. § 320.64(25) (audits, denials, chargebacks); Fla. Stat. §§ 320.64, 320.695, 320.697, 320.699</t>
  </si>
  <si>
    <t xml:space="preserve">http://www.leg.state.fl.us/statutes/index.cfm?App_mode=Display_Statute&amp;URL=0300-0399/0320/Sections/0320.696.html</t>
  </si>
  <si>
    <t xml:space="preserve">Coverage depends on the issuer: § 320.696 reaches warranty, maintenance plan, extended warranty, CPO warranty and service contracts 'issued by the licensee or its common entity, unless issued by a common entity that is not a manufacturer', plus recalls, campaigns, authorized goodwill, directives and bulletins. The licensee must keep reasonable flat-rate times, including for new models. 'Retail customer repair' is not limited to the same model or model year. The statute sets no claim approval clock or deemed-approval rule; only payment within 30 days of receipt.</t>
  </si>
  <si>
    <t xml:space="preserve">A claim rejected for clerical error may be resubmitted in corrected form within 30 days (§ 10-1-662(a)(14)).</t>
  </si>
  <si>
    <t xml:space="preserve">Disapproval must be specific and in writing. A franchisor may not deny, delay, restrict or bill back a warranty claim unless that is the direct result of a material defect affecting the claim's validity (§ 10-1-662(a)(15)).</t>
  </si>
  <si>
    <t xml:space="preserve">§ 10-1-641(b)(2); see § 10-1-662(a)(14)-(15)</t>
  </si>
  <si>
    <t xml:space="preserve">If the franchisor has reason to believe fraudulent or intentionally false claims were submitted, it may extend the period, but never beyond 4 years before the audit.</t>
  </si>
  <si>
    <t xml:space="preserve">The window is measured back from the audit or chargeback notice to the transaction, not from payment. Chargeback only if the franchisor proves by a preponderance that the transaction was fraudulent, intentionally and materially false, not reasonably substantiated, or did not follow its written repair or claim-submission requirements. No chargeback for clerical error. The dealer has at least 30 days to contest, the charge is stayed, internal dispute resolution comes first, then a petition to the revenue commissioner, with the burden on the franchisor.</t>
  </si>
  <si>
    <t xml:space="preserve">To conduct an audit, investigation, or inquiry of any dealer or dealership as to any activity, transaction, conduct, or other occurrence which took place more than one year prior to such audit, investigation, or inquiry</t>
  </si>
  <si>
    <t xml:space="preserve">§ 10-1-662(a)(13); see (a)(14)</t>
  </si>
  <si>
    <t xml:space="preserve">dealer's total labor sales from the submitted ROs ÷ total number of hours that generated those sales</t>
  </si>
  <si>
    <t xml:space="preserve">Discounted / promotional; Routine maintenance; Tires; Prep / reconditioning; Other (see text)</t>
  </si>
  <si>
    <t xml:space="preserve">(a)(2)(D)(i) franchisor/manufacturer/distributor special events, specials, promotional discounts; (ii) parts sold at wholesale [OTHER]; (iii) routine maintenance not covered under any retail customer warranty (fluids, filters, belts) not provided in the course of repairs; (iv) nuts, bolts, fasteners without individual part numbers [OTHER]; (v) tires; (vi) vehicle reconditioning.</t>
  </si>
  <si>
    <t xml:space="preserve">30 days after approval, unless the franchisor disapproves and timely contests</t>
  </si>
  <si>
    <t xml:space="preserve">The retail rate for labor shall be calculated by determining the dealer’s total labor sales from the submitted repair orders and dividing that amount by the total number of hours that generated those sales.</t>
  </si>
  <si>
    <t xml:space="preserve">§ 10-1-641(a)(2)(C); see (a)(2)(D), (F)</t>
  </si>
  <si>
    <t xml:space="preserve">The franchisor must reasonably substantiate that the rate 'is unreasonable in light of the practices of all other similarly situated franchised motor vehicle dealers in a comparable geographic area in this state offering the same line-make vehicles'. The principal factors are the dealer's retail rates and comparable dealers' rates ((a)(2)(A)).</t>
  </si>
  <si>
    <t xml:space="preserve">Approve or disapprove within 30 days, and contest within 30 days with a proposed adjusted rate. If the rate is substantially higher or lower than the rate on record, the franchisor may request documentation for 60 days before or after the sample. Internal dispute resolution must finish within 30 days after notice of disagreement.</t>
  </si>
  <si>
    <t xml:space="preserve">Petition to the state revenue commissioner (Department of Revenue) within 60 days after receiving the proposed adjustment, or 30 days after internal dispute resolution ends, whichever is later. A hearing follows, with the burden on the franchisor.</t>
  </si>
  <si>
    <t xml:space="preserve">A franchisor, manufacturer, or distributor may contest the dealer’s declared labor rate not later than 30 days after submission and declaration of the labor rate by the dealer by reasonably substantiating that such rate is unreasonable</t>
  </si>
  <si>
    <t xml:space="preserve">§ 10-1-641(a)(2)(C)</t>
  </si>
  <si>
    <t xml:space="preserve">Petition to the Department of Revenue, or a court action for damages equal to 'the greater of (1) the actual pecuniary loss or (2) three times the actual pecuniary loss, not to exceed $750,000.00', plus costs, reasonable attorney's fees and equitable or injunctive relief. The burden shifts on a prima facie showing. Punitive damages for aggravated or continued multiple intentional violations (§ 10-1-623).</t>
  </si>
  <si>
    <t xml:space="preserve">The revenue commissioner may enforce the article and issue administrative orders after an APA hearing; final orders can be filed and enforced as superior-court judgments (§§ 10-1-666, 10-1-667). No specific civil-penalty amount was found in Part 6.</t>
  </si>
  <si>
    <t xml:space="preserve">O.C.G.A. §§ 10-1-623, 10-1-666, 10-1-667</t>
  </si>
  <si>
    <t xml:space="preserve">O.C.G.A. § 10-1-641; O.C.G.A. § 10-1-662(a)(13)-(15) (audits, chargebacks, denials); O.C.G.A. §§ 10-1-623, 10-1-666, 10-1-667 (remedies/enforcement)</t>
  </si>
  <si>
    <t xml:space="preserve">https://law.justia.com/codes/georgia/title-10/chapter-1/article-22/part-3/section-10-1-641/</t>
  </si>
  <si>
    <t xml:space="preserve">The 30-day claim rule in (b)(2) ('All such claims...') follows the recall sentence in (b)(1). (d)(7) treats it as the warranty-claim standard, but its literal antecedent is recall claims. The labor-rate subparagraph (a)(2)(C) has NO deemed-approval sentence; only the parts subparagraph (B) says a rate not disapproved in 30 days is 'deemed approved'. Hence deemed_approved_if_no_response = null. Time allowances must be 'reasonable and adequate' ((a)(1)(D)). § 10-1-645 allows a uniform time-standards manual. Stop-sale compensation is 1%/month ((d)). Current text was read on Justia through the browser (2025 Code of Georgia).</t>
  </si>
  <si>
    <t xml:space="preserve">Dealer must be allowed at least 30 days after the repair is completed to submit (§ 437-56(d)); no outer limit stated</t>
  </si>
  <si>
    <t xml:space="preserve">Written notice to the dealer of the grounds for disapproval (§ 437-28(a)(21)(G); § 437-56(d))</t>
  </si>
  <si>
    <t xml:space="preserve">shall be paid within thirty days after approval and shall be approved or disapproved within thirty days after receipt … Failure to disapprove a claim within the required time frame constitutes approval of the claim.</t>
  </si>
  <si>
    <t xml:space="preserve">§ 437-28(a)(21)(G) (30/30); § 437-56(d) (deemed approval)</t>
  </si>
  <si>
    <t xml:space="preserve">1-year limit does not apply to fraudulent claims</t>
  </si>
  <si>
    <t xml:space="preserve">No audit of paid claims or chargeback more than 1 year after payment; chargeback only if mfr carries burden that the claim was fraudulent or dealer did not substantially comply with reasonable written procedures; 30 days' written notice before imposing; dealer may protest, then petition under § 437-51; chargeback stayed until final judgment</t>
  </si>
  <si>
    <t xml:space="preserve">chargeback any warranty or incentive payment previously made more than one year after the date the manufacturer or distributor made the payment to the dealer. This section shall not apply to fraudulent claims.</t>
  </si>
  <si>
    <t xml:space="preserve">§ 437-57(a)</t>
  </si>
  <si>
    <t xml:space="preserve">No formula. Warranty labor rate per hour must equal the dealer's retail labor rate: not less than it, and not more than it</t>
  </si>
  <si>
    <t xml:space="preserve">None for labor. Parts-markup sample only (§ 437-56(c)): mfr special events; repairs covered by any insurance or service contract; government emission/safety inspections; wholesale incl. any sale or service to a fleet; engine and transmission assemblies; routine maintenance (fluids, filters, belts); nuts, bolts, fasteners without part numbers; tires; vehicle reconditioning</t>
  </si>
  <si>
    <t xml:space="preserve">pay its dealers a labor rate per hour for warranty work that is less than that charged by the dealer to the retail customers of the dealer nor shall the rates be more than the retail rates</t>
  </si>
  <si>
    <t xml:space="preserve">DCCA administrative hearing (Office of Administrative Hearings) for disputes on Part II matters (§§ 437-51 to 437-59, which include § 437-56 and § 437-57); board discipline under § 437-28 for (21)(G)</t>
  </si>
  <si>
    <t xml:space="preserve">In any dispute among a manufacturer, distributor, or dealer on matters governed by this part, the manufacturer, distributor, or dealer may seek a hearing from the department of commerce and consumer affairs.</t>
  </si>
  <si>
    <t xml:space="preserve">§ 437-51(a)</t>
  </si>
  <si>
    <t xml:space="preserve">Suit to enjoin, with damages and a reasonable attorney's fee (§ 437-36; the section is framed around unlicensed activity, but the court may enjoin any chapter violation). DCCA hearing under § 437-51: each party bears its own costs and attorney's fees; hearing cost shared</t>
  </si>
  <si>
    <t xml:space="preserve">Board may suspend, revoke, fine ($100-$1,000 per violation) or deny license renewal for a (21)(G) violation (§ 437-28(a),(c)); fine up to $1,000, each day a separate offense (§ 437-35); board may seek injunctive relief (§ 437-39); remedies cumulative (§ 437-37.5)</t>
  </si>
  <si>
    <t xml:space="preserve">HRS §§ 437-28(a),(c), 437-35, 437-36, 437-37.5, 437-39, 437-51(g)</t>
  </si>
  <si>
    <t xml:space="preserve">Haw. Rev. Stat. § 437-28(a)(21)(G); Haw. Rev. Stat. § 437-56(d)-(e); Haw. Rev. Stat. § 437-57; Haw. Rev. Stat. § 437-59(d)-(e); Haw. Rev. Stat. §§ 437-28(a),(c), 437-35, 437-36, 437-39, 437-51</t>
  </si>
  <si>
    <t xml:space="preserve">https://data.capitol.hawaii.gov/hrscurrent/Vol10_Ch0436-0474/HRS0437/HRS_0437-0056.htm (also HRS_0437-0028.htm, HRS_0437-0057.htm, HRS_0437-0051.htm; legislature data host, files dated 1/5/2026)</t>
  </si>
  <si>
    <t xml:space="preserve">CLAIM-CLOCK CONFLICT: § 437-28(a)(21)(G) requires approval or disapproval within 30 days of receipt and payment within 30 days of approval. § 437-56(d), from the same 2010 act, requires approval or disapproval and payment within 45 days of receipt, with deemed approval if not disapproved 'within the required time frame'. The table uses the stricter 30/30. The labor rate is a floor AND a ceiling ('nor shall the rates be more than the retail rates'). Section (21)(G) is a licensing ground (Part I); §§ 437-56/57 are in Part II (DCCA hearing). No cost recovery (§ 437-56(e)). Recall and stop-sale claims carry the same limits as warranty claims (§ 437-59(e)); § 437-59(d) bars recall-related chargebacks, subject to § 437-57. Parts markup: effective within 90 days, presumed fair; at most once per 12 months; mfr may request additional information, which restarts the 90-day clock. The statute has no time-allowance rule.</t>
  </si>
  <si>
    <t xml:space="preserve">A claim may not be reduced or disallowed for being submitted fewer than 60 days after the work was completed (§ 322.3(16)); no maximum stated</t>
  </si>
  <si>
    <t xml:space="preserve">A claim may be rejected, but not denied, solely for an unintentional failure such as a clerical error; the dealer may resubmit the corrected claim 'in a timely manner' (§ 322A.5(4)(b))</t>
  </si>
  <si>
    <t xml:space="preserve">Denial in writing within 30 days. Allowed grounds: repair not related to warranty or recall; repair not properly performed; lacks reasonably required documentation; noncompliance with program terms; bona fide, fact-based belief of an intentionally false or fraudulent claim (§ 322A.5(4)(b))</t>
  </si>
  <si>
    <t xml:space="preserve">shall be paid within thirty days after the claim's approval … If a franchiser does not deny a claim in writing within thirty days after the receipt of the claim, the claim shall be deemed to be approved</t>
  </si>
  <si>
    <t xml:space="preserve">§ 322A.5(4)(a)</t>
  </si>
  <si>
    <t xml:space="preserve">The 12-month limit does not apply if an Iowa court of competent jurisdiction finds the claim fraudulent</t>
  </si>
  <si>
    <t xml:space="preserve">The 12 months run from claim SUBMISSION, not payment: no reduction or disallowance of warranty compensation once 12 months have passed since submission (§ 322.3(14)). The 30-day rules do not preclude denials, reductions or chargebacks not otherwise barred by § 322.3(14) (§ 322A.5(4)(c))</t>
  </si>
  <si>
    <t xml:space="preserve">shall not reduce the amount of compensation for, or disallow a claim for, any of the following if twelve months or more have passed since the claim was submitted</t>
  </si>
  <si>
    <t xml:space="preserve">§ 322.3(14)(a)</t>
  </si>
  <si>
    <t xml:space="preserve">Total retail sales attributable to labor for warranty-like services / hours of labor spent to generate them</t>
  </si>
  <si>
    <t xml:space="preserve">Routine maintenance; Tires</t>
  </si>
  <si>
    <t xml:space="preserve">Retail service orders, or portions of them, attributable to routine maintenance 'such as tire service or oil service'</t>
  </si>
  <si>
    <t xml:space="preserve">45 days after the franchiser's approval</t>
  </si>
  <si>
    <t xml:space="preserve">one hundred sequential retail service orders paid by the franchisee's customers, or all of the franchisee's retail service orders paid by the franchisee's customers in a ninety-day period, whichever is less, for services provided within the previous one-hundred-eighty-day period</t>
  </si>
  <si>
    <t xml:space="preserve">§ 322A.5(2)(b)(3)(a)</t>
  </si>
  <si>
    <t xml:space="preserve">At a DIAL hearing the franchiser bears the burden of proving its denial was reasonable. The compensation floor applies 'provided the rates are reasonable' (§ 322A.5(2)(b)(4))</t>
  </si>
  <si>
    <t xml:space="preserve">The franchiser may choose to audit the submitted ROs within 30 days of receipt, then approve or deny. The statute sets no explicit deadline for the approve/deny decision and no deemed approval. If DIAL finds the denial unreasonable, the denial is a violation and DIAL sets the rate</t>
  </si>
  <si>
    <t xml:space="preserve">Complaint to the department (Iowa DOT); contested-case hearing before the Department of Inspections, Appeals, and Licensing; review by DOT, then judicial review (§§ 322A.5(2)(b)(3)(b), 322A.17)</t>
  </si>
  <si>
    <t xml:space="preserve">Within thirty days of receiving the franchisee's submission, the franchiser may choose to audit the submitted orders. The franchiser shall then approve or deny the establishment of the franchisee's average percentage markup or labor rate.</t>
  </si>
  <si>
    <t xml:space="preserve">§ 322A.5(2)(b)(3)(b)</t>
  </si>
  <si>
    <t xml:space="preserve">An additional award of reasonable attorney fees and litigation expenses where the district court finds a franchiser or franchisee violated an express or implied warranty (§ 322A.5(1); a consumer-warranty fulfillment clause). Franchise clauses restricting jurisdiction to an out-of-state forum are void (§ 322A.19)</t>
  </si>
  <si>
    <t xml:space="preserve">Manufacturer or distributor license may be denied, revoked or suspended for violating ch. 322, incl. § 322.3(14)/(16) (§ 322.31). Simple misdemeanor: fine $250-$1,500 or up to 30 days (§ 322.14). Department injunction action (§ 322.11). An unreasonable rate denial is deemed a ch. 322A violation (§ 322A.5(2)(b)(3)(b))</t>
  </si>
  <si>
    <t xml:space="preserve">Iowa Code §§ 322A.5(1), 322A.5(2)(b)(3)(b), 322A.19, 322.11, 322.14, 322.31</t>
  </si>
  <si>
    <t xml:space="preserve">Iowa Code § 322A.5; Iowa Code § 322.3(14), (16); Iowa Code §§ 322.11, 322.14, 322.31</t>
  </si>
  <si>
    <t xml:space="preserve">https://www.legis.iowa.gov/docs/code/322A.pdf (Iowa Code 2026; ch. 322 at https://www.legis.iowa.gov/docs/code/322.pdf)</t>
  </si>
  <si>
    <t xml:space="preserve">Time allowances, incl. diagnostics, must be 'reasonable and adequate' (§ 322A.5(2)(c)). § 322A.5(5) extends the obligations to franchisers of separately warranted transmissions, engines or rear axles. The text is nearly identical to K.S.A. 8-2415(c). Iowa measures the 12-month chargeback bar from submission; Kansas measures it from payment.</t>
  </si>
  <si>
    <t xml:space="preserve">No fixed deadline. A claim may be submitted if the defect was identified and documented before the warranty expired, including after franchise termination for work done while the franchise was in effect (§ 49-1626(4))</t>
  </si>
  <si>
    <t xml:space="preserve">30 days from notice of a denial or chargeback to resubmit a claim denied for a clerical error or other administrative technicality (longer if the mfr allows) (§ 49-1626(6)-(7))</t>
  </si>
  <si>
    <t xml:space="preserve">A claim must be specifically disapproved in writing within 30 days of receipt, or it is approved; the statute has no stated-grounds requirement</t>
  </si>
  <si>
    <t xml:space="preserve">shall be paid within thirty (30) days following their approval … any claim not specifically disapproved in writing within thirty (30) days after receipt shall be construed to be approved</t>
  </si>
  <si>
    <t xml:space="preserve">§ 49-1626(5)</t>
  </si>
  <si>
    <t xml:space="preserve">May audit for fraudulent claims during any period in which a fraud action may be commenced; a fraud action under § 5-218 is preserved (§ 49-1626(8), (10))</t>
  </si>
  <si>
    <t xml:space="preserve">Chargeback only after an audit, and only if the mfr shows by a preponderance that the repair was improperly or substandardly performed or unnecessary, or that the claim is unsubstantiated under mfr requirements (§ 49-1626(9)). Dealer may resubmit clerical denials and chargebacks within 30 days</t>
  </si>
  <si>
    <t xml:space="preserve">after the expiration of one (1) year after the date of payment of the warranty claim, a manufacturer or distributor shall not audit the records of a motor vehicle dealer to determine compliance with the terms of a warranty claim.</t>
  </si>
  <si>
    <t xml:space="preserve">§ 49-1626(8)</t>
  </si>
  <si>
    <t xml:space="preserve">Discounted / promotional; Insurance-paid; Service-contract paid; State inspections; Fleet; Engine / transmission assembly; Routine maintenance; Tires; Prep / reconditioning; Other (see text)</t>
  </si>
  <si>
    <t xml:space="preserve">Menu-priced parts or services; mfr special events; repairs covered by any insurance or service contract; government-required emission/safety inspections; parts sold or repairs performed at wholesale, incl. any sale or service to a fleet [OTHER: wholesale]; engine and transmission assemblies; routine maintenance (fluids, filters, belts not in the course of repairs); nuts, bolts, fasteners without an individual part number [OTHER]; tires; vehicle reconditioning</t>
  </si>
  <si>
    <t xml:space="preserve">Within 90 days after initial submission. The clock starts on receipt of any reasonably requested supporting information; the rate is presumed fair and reasonable</t>
  </si>
  <si>
    <t xml:space="preserve">one hundred (100) sequential customer paid service repair orders or ninety (90) days of customer paid service repair orders, whichever is less, covering repairs made no more than one hundred eighty (180) days before the submission</t>
  </si>
  <si>
    <t xml:space="preserve">§ 49-1626(11)(b)</t>
  </si>
  <si>
    <t xml:space="preserve">Rate presumed fair and reasonable. The retail-rate floor applies only if the rate is 'not unreasonable when compared with other motor vehicle franchises from the same or competitive lines ... in the geographic area' (§ 49-1626(11))</t>
  </si>
  <si>
    <t xml:space="preserve">Within 30 days, the mfr may make reasonable requests for additional supporting information (not unduly burdensome); otherwise it must implement the rate within 90 days. The statute has no rebuttal or rejection procedure; the rate takes effect by operation of law</t>
  </si>
  <si>
    <t xml:space="preserve">After mediation (§ 49-1617A), protest to the Idaho Transportation Department, heard as a contested case by the office of administrative hearings (§ 49-1617(1)(e), (4)); or a civil action (§ 49-1617B)</t>
  </si>
  <si>
    <t xml:space="preserve">shall take effect within ninety (90) days after the initial submission … and shall be presumed to be fair and reasonable. However, within thirty (30) days following receipt of the declared schedule … may make reasonable requests for additional information</t>
  </si>
  <si>
    <t xml:space="preserve">Protest: costs and reasonable attorney's fees to a dealer who prevails and suffered pecuniary loss; treble pecuniary loss for a willful violation (§ 49-1617(3)). Civil action for actual damages, declaratory or injunctive relief, costs and attorney's fees; dealer associations have standing (§ 49-1617B). Damages and equitable relief for injury from a chapter violation (§ 49-1610(2)). 4-year limitations period (§ 49-1633)</t>
  </si>
  <si>
    <t xml:space="preserve">License refusal, suspension or revocation for violating the chapter (§§ 49-1602(1)-(2), 49-1620); a violation is an unlawful act by a licensee (§ 49-1613(1)(b))</t>
  </si>
  <si>
    <t xml:space="preserve">Idaho Code §§ 49-1602, 49-1610(2), 49-1613(1)(b), 49-1617(3), 49-1617B, 49-1620, 49-1633</t>
  </si>
  <si>
    <t xml:space="preserve">Idaho Code § 49-1626; Idaho Code § 49-1617; Idaho Code § 49-1617B; Idaho Code § 49-1610(2); Idaho Code §§ 49-1602(2), 49-1620</t>
  </si>
  <si>
    <t xml:space="preserve">https://legislature.idaho.gov/wp-content/uploads/statutesrules/idstat/Title49/T49CH16.pdf (section page: https://legislature.idaho.gov/statutesrules/idstat/title49/t49ch16/sect49-1626/)</t>
  </si>
  <si>
    <t xml:space="preserve">Time allowances for diagnosis and repair must be 'reasonable and adequate' (§ 49-1626(2)). No cost recovery by surcharge (§ 49-1626(13)). RVs keep the procedures, but the (11) retail rate does not apply to living-area components (§ 49-1626(14)). Per the prior head-start file (not re-verified here), 2023 H0127/H0129 and 2026 S1424 died; the official ch. 16 PDF shows no post-2011 change to § 49-1626.</t>
  </si>
  <si>
    <t xml:space="preserve">Dealer may correct and resubmit disapproved claims within 30 days of receiving the disapproval; resubmitted claims are subject to the same 30-day rule</t>
  </si>
  <si>
    <t xml:space="preserve">Written notice within the 30-day period stating the specific grounds for disapproval</t>
  </si>
  <si>
    <t xml:space="preserve">The motor vehicle dealer shall be permitted to correct and resubmit such disapproved claims within 30 days of receipt of disapproval. Any claims not specifically disapproved in writing within 30 days from their submission shall be deemed approved</t>
  </si>
  <si>
    <t xml:space="preserve">710/6(b) (claims paragraph)</t>
  </si>
  <si>
    <t xml:space="preserve">Beyond 1 year, the mfr may charge back a fraudulent claim only if it establishes fraud in an Illinois court of competent jurisdiction</t>
  </si>
  <si>
    <t xml:space="preserve">Audit within 1 year of payment or credit, and charge back false or unsubstantiated claims; the same 1-year rule covers incentive programs. A separate sentence bars any debit reduction or chargeback of any item on a warranty RO 'absent a finding of fraud or illegal actions by the dealer', which is in tension with the false-or-unsubstantiated right. No reductions based on market norms or averages; no failure-rate-index limits on repair frequency</t>
  </si>
  <si>
    <t xml:space="preserve">audit such claims within a one year period from the date the claim was paid or credit issued … No debit reduction or charge back … absent a finding of fraud or illegal actions</t>
  </si>
  <si>
    <t xml:space="preserve">The 'same effective labor rate' the dealer receives for customer-pay repairs, taken from the 100 sequential ROs. The statute does not spell out the arithmetic. Floor: never less than rates charged for like retail nonwarranty service</t>
  </si>
  <si>
    <t xml:space="preserve">Routine maintenance</t>
  </si>
  <si>
    <t xml:space="preserve">'less simple maintenance repair orders'</t>
  </si>
  <si>
    <t xml:space="preserve">same effective labor rate (using the 100 sequential repair orders chosen and submitted by the dealer less simple maintenance repair orders) … warranty labor rate increases a maximum of once per calendar year</t>
  </si>
  <si>
    <t xml:space="preserve">Motor Vehicle Review Board protest (Secs. 12(b), 29), arbitration if both parties agree (Sec. 12(a)), or circuit court (Secs. 12(e), 13)</t>
  </si>
  <si>
    <t xml:space="preserve">Upon receipt of a timely notice of protest filed with the Motor Vehicle Review Board under Section 4, 5, 6, 7, 9, 10.1, 11, or 12 of this Act</t>
  </si>
  <si>
    <t xml:space="preserve">710/29</t>
  </si>
  <si>
    <t xml:space="preserve">Damages and equitable relief incl. an injunction; treble damages if willful or wanton; mandatory reasonable attorney's fees, expert fees and costs to a dealer that substantially prevails (Sec. 13). MVRB protest or agreed arbitration (Sec. 12). 4-year limitations period (Sec. 14)</t>
  </si>
  <si>
    <t xml:space="preserve">815 ILCS 710/12, 710/13, 710/14, 710/29</t>
  </si>
  <si>
    <t xml:space="preserve">815 ILCS 710/6; 815 ILCS 710/12; 815 ILCS 710/13; 815 ILCS 710/29</t>
  </si>
  <si>
    <t xml:space="preserve">https://www.ilga.gov/Documents/legislation/ilcs/documents/081507100K6.htm (full Act: https://www.ilga.gov/legislation/ilcs/ilcs3.asp?ActID=2382&amp;ChapterID=67)</t>
  </si>
  <si>
    <t xml:space="preserve">Sec. 6 gives no mfr response window, rebuttal standard or effective date for a labor-rate request; the only rate mechanics are the 100-RO 'same effective labor rate' sentence and the once-per-calendar-year limit on increase requests. Baseline: pay 'no less than the amount the retail customer pays for the same services with regard to rate and time'. Time: an agreed time guide for extended-warranty repairs may replace actual time. With no agreed guide, or where the guide does not define the operation, the mfr guide x 1.5 applies. Diagnostic time and TAC/engineering communication time (incl. hold time) are paid. No cost-recovery fees or surcharges. Sec. 6(f) extends duties to affiliates issuing a 'warranty or service or repair plan'. Sec. 6 has two overlapping claims paragraphs, both 30/30 with deemed approval. No administrative license sanction appears in the Franchise Act; the Vehicle Code was not reviewed.</t>
  </si>
  <si>
    <t xml:space="preserve">No denial based solely on an incidental failure to meet a claim-processing requirement (clerical error or administrative technicality) where the dealer documented a good-faith attempt (§ 17(c)). Chargeback appeal: at least 30 days to rebut, and 30 days to cure material documentation or clerical noncompliance (§ 17(d)). Incentive claims only: amended or supplemental claims within 60 days (§ 17(e))</t>
  </si>
  <si>
    <t xml:space="preserve">Written notice to the dealer of the grounds for disapproval (§ 17(a)(3))</t>
  </si>
  <si>
    <t xml:space="preserve">not later than thirty (30) days after the claim is approved; … fail to approve or disapprove a claim not later than thirty (30) days after receipt … disapprove a claim without notice to the dealer in writing of the grounds</t>
  </si>
  <si>
    <t xml:space="preserve">§ 9-32-13-17(a)(1)-(3)</t>
  </si>
  <si>
    <t xml:space="preserve">Limits do not apply if the mfr can prove fraud on a claim</t>
  </si>
  <si>
    <t xml:space="preserve">Audit or charge back only false or fraudulent claims, repairs not properly made, work not necessary, or claims not substantiated under the mfr's written procedures. No discrimination among dealers. Written notice of the specific grounds; an appeals process with 30 days to rebut and 30 days to cure; the dealer may request a meeting or a written explanation</t>
  </si>
  <si>
    <t xml:space="preserve">for up to twelve (12) months after the date on which the claim is paid. However, the limitations of this subsection do not apply if the manufacturer or distributor can prove fraud on a claim.</t>
  </si>
  <si>
    <t xml:space="preserve">§ 9-32-13-17(b)</t>
  </si>
  <si>
    <t xml:space="preserve">Total labor sales for warranty-like repairs / number of hours that generated those sales</t>
  </si>
  <si>
    <t xml:space="preserve">Discounted / promotional; Routine maintenance; Prep / reconditioning; Accessories; Collision / body / glass; State inspections; Goodwill; Tires; Other (see text)</t>
  </si>
  <si>
    <t xml:space="preserve">Mfr special events, specials, or promotional discounts; parts sold or repairs performed at wholesale [OTHER]; routine maintenance (fluids, filters, belts); nuts, bolts, fasteners without part numbers [OTHER]; vehicle reconditioning; accessories; collision, road hazard, elements, vandalism, theft; emission/safety inspections required by law; mfr-reimbursed goodwill or policy repairs; tire replacement</t>
  </si>
  <si>
    <t xml:space="preserve">Takes effect automatically if the mfr sends no rebuttal within 60 days after receiving the declaration (no set day stated). If the dealer files a complaint, the prior rate stays in effect until 30 days after a final court decision and exhaustion of appeals (§ 15.5(j))</t>
  </si>
  <si>
    <t xml:space="preserve">dividing the total labor sales for warranty like repairs by the number of hours that generated those sales in one hundred (100) customer paid sequential repair orders or ninety (90) consecutive days of customer paid repair orders</t>
  </si>
  <si>
    <t xml:space="preserve">Rebuttal must substantiate how the declaration is unreasonable or materially inaccurate. The § 15 retail-rate duty applies 'as long as the dealer's retail rate is reasonable', judged against similar repairs by similarly situated Indiana repair facilities</t>
  </si>
  <si>
    <t xml:space="preserve">Timely rebuttal proposing an adjusted retail rate with written support. The mfr may also audit annually to verify effective rates have not decreased, and reduce the rate prospectively if they have (§ 15.5(h))</t>
  </si>
  <si>
    <t xml:space="preserve">Complaint to the dealer services division of the Secretary of State within 30 days after receiving the rebuttal (§ 15.5(d)-(e)); OALP complaint (§ 9-32-16-15)</t>
  </si>
  <si>
    <t xml:space="preserve">submitting a rebuttal not later than sixty (60) days after the date the declaration was received. If the manufacturer or distributor does not send a timely rebuttal … the retail rate is established as reasonable and goes into effect automatically.</t>
  </si>
  <si>
    <t xml:space="preserve">§ 9-32-13-15.5(c)</t>
  </si>
  <si>
    <t xml:space="preserve">Dealer complaint or petition to the Office of Administrative Law Proceedings; the ALJ may order mediation (§ 9-32-16-15). Complaint to the dealer services division (§ 9-32-13-31(a)). No express private damages action found in art. 32 for these sections</t>
  </si>
  <si>
    <t xml:space="preserve">Civil penalty up to $10,000 per violation (§ 9-32-17-1); license denial, suspension, revocation or conditions (§ 9-32-16-2); an unfair practice is a Class A infraction (§ 9-32-13-31(d))</t>
  </si>
  <si>
    <t xml:space="preserve">IC 9-32-13-31, 9-32-16-2, 9-32-16-15, 9-32-17-1</t>
  </si>
  <si>
    <t xml:space="preserve">Ind. Code § 9-32-13-15.5; Ind. Code § 9-32-13-15; Ind. Code § 9-32-13-17; Ind. Code § 9-32-13-31; Ind. Code § 9-32-16-15; Ind. Code § 9-32-16-2; Ind. Code § 9-32-17-1</t>
  </si>
  <si>
    <t xml:space="preserve">https://iga.in.gov/ic/2026/Title_9.pdf (Indiana Code 2026, Title 9; ch. 9-32-13)</t>
  </si>
  <si>
    <t xml:space="preserve">The retail-rate duty applies 'Unless otherwise agreed'. The optional § 16 uniform reimbursement contract needs at least 30% of same-line franchisees; its time-standards manual must allow a 'reasonable and adequate' diagnosis time. §§ 15 and 15.5 exclude manufactured housing, heavy-duty vocational vehicles (49 CFR 523.8) and RVs. § 15.5 also binds independently warranting component or major-assembly makers. No cost-recovery surcharge (§ 15.5(i)). § 15(b) bars a statewide uniform hourly labor rate. § 17 has no deemed-approval clause; failing to decide within 30 days is an unfair practice. § 17(f) requires compensation for customer assistance with OTA or remote repairs performed at the dealership.</t>
  </si>
  <si>
    <t xml:space="preserve">Compensation may not be reduced or disallowed because the claim was submitted fewer than 60 days after the work was completed (8-2415(d)); no maximum stated</t>
  </si>
  <si>
    <t xml:space="preserve">Specific disapproval in writing or by electronic transmission within 30 days. No unreasonable proof may be required. A reasonably substantiated claim may not be divided or reduced. Failure to follow processing requirements is not grounds for denial or reduction if the dealer presents reasonable documentation (8-2415(d))</t>
  </si>
  <si>
    <t xml:space="preserve">If a claim is not specifically disapproved in writing or by electronic transmission within 30 days after … receives it, the claim shall be considered to be approved and payment shall follow within 30 days.</t>
  </si>
  <si>
    <t xml:space="preserve">K.S.A. 8-2415(e)</t>
  </si>
  <si>
    <t xml:space="preserve">With evidence of fraud, the mfr may audit for longer and charge back fraudulent claims, subject to the K.S.A. 60-513(a)(3) limitation period</t>
  </si>
  <si>
    <t xml:space="preserve">Chargeback only for false or unsubstantiated claims. The mfr's reimbursement claim must be presented within 90 days of the audit. No setoff against dealer funds until a final decision on any challenge or appeal</t>
  </si>
  <si>
    <t xml:space="preserve">retains the right to audit claims for warranty work for a period of one year after the date on which the claim is paid and to chargeback any amounts paid on claims that are false or unsubstantiated.</t>
  </si>
  <si>
    <t xml:space="preserve">45 days after the mfr's approval</t>
  </si>
  <si>
    <t xml:space="preserve">copies of 100 sequential retail service orders paid by the dealer's customers, or all of the dealer's retail service orders paid by the dealer's customers in a 90-day period, whichever is less, for services provided within the previous 180-day period.</t>
  </si>
  <si>
    <t xml:space="preserve">K.S.A. 8-2415(c)(2)(C)(i)</t>
  </si>
  <si>
    <t xml:space="preserve">At the hearing the mfr bears the burden of proving its denial was reasonable. The floor applies 'provided the rates are reasonable' (8-2415(c)(3)). The mfr may not act unreasonably to delay rate adjustments (8-2415(d))</t>
  </si>
  <si>
    <t xml:space="preserve">The mfr may choose to audit the submitted orders within 30 days, then approve or deny. No explicit decision deadline and no deemed approval. If the director finds the denial unreasonable, the denial is a violation and the director sets the rate</t>
  </si>
  <si>
    <t xml:space="preserve">Complaint to the director of vehicles; hearing under K.S.A. 8-2411 (KAPA); appeal to district court under the Kansas Judicial Review Act</t>
  </si>
  <si>
    <t xml:space="preserve">Within 30 days of receiving the dealer's submission, the first or second stage manufacturer or distributor may choose to audit the submitted orders. The first or second stage manufacturer or distributor shall then approve or deny</t>
  </si>
  <si>
    <t xml:space="preserve">K.S.A. 8-2415(c)(2)(C)(ii)</t>
  </si>
  <si>
    <t xml:space="preserve">Injunction on application of the board, the director or 'any person having any interest in the subject matter' (8-2413(a)); mandatory nonbinding mediation on request, which tolls deadlines (8-2413(b)). No express damages action in these sections</t>
  </si>
  <si>
    <t xml:space="preserve">Civil penalty of $50-$1,000 per violation and/or license suspension or revocation (8-2411(b)); license denial, suspension or revocation for negligently failing to comply with the act (8-2410(a)(4))</t>
  </si>
  <si>
    <t xml:space="preserve">K.S.A. 8-2410(a)(4), 8-2411(b), 8-2413</t>
  </si>
  <si>
    <t xml:space="preserve">K.S.A. 8-2415; K.S.A. 8-2411; K.S.A. 8-2410(a)(4); K.S.A. 8-2413</t>
  </si>
  <si>
    <t xml:space="preserve">Applies to 'first or second stage' manufacturers and distributors. No time-allowance sentence, unlike Iowa. Rate and parts rules mirror Iowa § 322A.5(2), but the Kansas chargeback window runs from payment.</t>
  </si>
  <si>
    <t xml:space="preserve">Mfr may not require submission sooner than 30 days after the dealer completes the work (90 days for Class 7+ vehicles, § 190.046(2)(d)9.)</t>
  </si>
  <si>
    <t xml:space="preserve">If a claim is incomplete or inaccurate, or a problem is found in audit, the mfr must promptly notify the dealer and extend the submission time by at least 5 business days (§ 190.046(6))</t>
  </si>
  <si>
    <t xml:space="preserve">Specific disapproval in writing within 30 days. Failure to meet mfr processing requirements is not grounds for denial or reduction if the dealer presents reasonable documentation (§ 190.046(6)). No unreasonable proof may be required (§ 190.046(2)(e))</t>
  </si>
  <si>
    <t xml:space="preserve">All claims shall be either approved or disapproved … within thirty (30) days after their receipt … Any claims not specifically disapproved in writing within thirty (30) days after the receipt of the form shall be considered to be approved</t>
  </si>
  <si>
    <t xml:space="preserve">KRS 190.046(3)(c)-(d)</t>
  </si>
  <si>
    <t xml:space="preserve">With evidence that would lead a person of ordinary caution to believe a claim was fraudulent, false or misleading, the mfr may audit within any period in which a fraud or false-claims action may be commenced under state law</t>
  </si>
  <si>
    <t xml:space="preserve">Audits of warranty, recall, sales and incentive claims only within 12 months after payment, or the end of a program lasting 1 year or less, whichever is later. No documentation demands after that window. Before any chargeback, written notice with a copy of the audit and a detailed reason for each chargeback. Dealer need not keep defective parts beyond 30 days after payment</t>
  </si>
  <si>
    <t xml:space="preserve">A manufacturer or distributor may only audit warranty, recall, sales, or incentive claims for a period of twelve (12) months following payment, or the end of a program which does not exceed one (1) year in length, whichever is later</t>
  </si>
  <si>
    <t xml:space="preserve">KRS 190.046(7)(a)</t>
  </si>
  <si>
    <t xml:space="preserve">'Reasonable compensation'. The principal factor is what the dealer charges other customers for the same type of work; other factors: other OEMs' pay and community prevailing rates. Floor (except Class 7+): the dealer's retail charges for like nonwarranty work, OR the warranty compensation schedule the mfr files with the Motor Vehicle Commission (§ 190.046(2)(a),(c); § 190.0462)</t>
  </si>
  <si>
    <t xml:space="preserve">None (no RO sample in statute)</t>
  </si>
  <si>
    <t xml:space="preserve">the principal factor to be considered shall be the amount of money that the dealer is charging its other customers for the same type service or repair work.</t>
  </si>
  <si>
    <t xml:space="preserve">KRS 190.046(2)(a)</t>
  </si>
  <si>
    <t xml:space="preserve">Motor Vehicle Commission administrative hearing (KRS 190.057, conducted under KRS Chapter 13B)</t>
  </si>
  <si>
    <t xml:space="preserve">Any dispute between the dealer and the manufacturer or distributor shall be subject to the provisions of KRS 190.057.</t>
  </si>
  <si>
    <t xml:space="preserve">KRS 190.046(3)(f)</t>
  </si>
  <si>
    <t xml:space="preserve">Civil action in Franklin Circuit Court for an injunction, actual damages, costs and a reasonable attorney's fee (KRS 190.062(1); the text says 'a violation of this section')</t>
  </si>
  <si>
    <t xml:space="preserve">The Motor Vehicle Commission may deny, suspend or revoke a mfr or distributor license and/or impose civil penalties up to $1,000 per violation for noncompliance with KRS 190.010-190.080 (KRS 190.062(2)). Criminal fine of $25-$500 and/or up to 30 days (KRS 190.990(1)). Unfair discrimination among dealers in warranty reimbursement is a prohibited practice (KRS 190.070(1)(n))</t>
  </si>
  <si>
    <t xml:space="preserve">KRS 190.062, 190.070(1)(n), 190.990(1)</t>
  </si>
  <si>
    <t xml:space="preserve">KRS 190.046; KRS 190.0462; KRS 190.057; KRS 190.062; KRS 190.070(1)(n); KRS 190.990(1)</t>
  </si>
  <si>
    <t xml:space="preserve">https://apps.legislature.ky.gov/law/statutes/statute.aspx?id=57533 (KRS 190.046, effective July 15, 2026)</t>
  </si>
  <si>
    <t xml:space="preserve">HEAVY-TRUCK REGIME, effective 7/15/2026 (2026 Ky. Acts ch. 83), for vehicles of Class 7 or higher under 49 C.F.R. 565.15: (2)(b) and (2)(c), incl. the retail floor, apply 'Except as provided in paragraph (d)'. Parts: at least actual acquisition cost incl. freight, handling and taxes, plus a 30% gross profit margin. Also reimbursed: technician and warranty-admin training/certification, warranty IT (diagnostic computers, software), and special tools. Payment is per repair (as agreed, or at retail-equivalent amounts) or periodic, at least annually, at the dealer's election. Labor: actual hours of a trained or certified tech are the basis, unless the mfr proves by clear and convincing evidence they were unreasonable; labor guides are not sufficient evidence. Component manufacturers are liable as if primary, and the OEM stays primarily liable. Parts may not be refused after testing unless returned with a written certification. Minimum claim-submission window is 90 days. The (2)(d) regime states no separate labor-rate floor. Light duty: time allowances must be 'reasonable and adequate' (§ 190.046(1)); parts floor is cost + 30% GP (§ 190.046(2)(c)1.). Incentive claims: minimum 90-day submission window (§ 190.046(5)(a)).</t>
  </si>
  <si>
    <t xml:space="preserve">No claim may be rejected as late if submitted within 60 days of the date the RO was written (B)(7)</t>
  </si>
  <si>
    <t xml:space="preserve">Written notice of the grounds for disapproval ((A)(14)). No denial based solely on an incidental failure to meet a claim-processing requirement, a clerical error or an administrative technicality ((B)(3))</t>
  </si>
  <si>
    <t xml:space="preserve">shall be paid within thirty days after approval and shall be approved or disapproved within thirty days after receipt. When any claim is disapproved, the dealer shall be notified in writing of the grounds for disapproval.</t>
  </si>
  <si>
    <t xml:space="preserve">R.S. 32:1262(A)(14)</t>
  </si>
  <si>
    <t xml:space="preserve">Limits are not effective for intentionally false or fraudulent claims (B)(5)</t>
  </si>
  <si>
    <t xml:space="preserve">A paid claim may be charged back only if false or fraudulent, not properly made, unnecessary under accepted workmanship standards, or not reasonably substantiated under reasonable written requirements notified before the claim arose (B)(2). No chargeback where the repair resolved the presented condition and was documented (not for RP dealers) (B)(4). No liability for failing to keep parts more than 6 months. More than 2 service-related audits in 12 months is an unfair act (B)(6)</t>
  </si>
  <si>
    <t xml:space="preserve">Any audit for warranty parts or service compensation shall be for the twelve-month period immediately following the date of the payment of the claim by the manufacturer or distributor.</t>
  </si>
  <si>
    <t xml:space="preserve">R.S. 32:1262(B)(1)</t>
  </si>
  <si>
    <t xml:space="preserve">Total labor charges from the qualifying repairs submitted / total hours that produced those charges</t>
  </si>
  <si>
    <t xml:space="preserve">Discounted / promotional; Other (see text); Internal; Routine maintenance; Accessories; Tires; Alignments; Prep / reconditioning; State inspections; Government; Insurance-paid; Service-contract paid; Goodwill; Collision / body / glass</t>
  </si>
  <si>
    <t xml:space="preserve">Mfr discounts (special events, promotions, coupons, service campaigns); parts sold at wholesale [OTHER]; repairs of vehicles owned by the dealer or an employee; routine maintenance (fluids, filters, batteries, bulbs, belts, nuts, bolts, fasteners); accessory installs; tires or wheels incl. alignments and rotations, and brake drums, rotors, shoes, pads [OTHER: brakes]; reconditioning; safety or emission inspections; repairs with negotiated volume discounts for government agencies, insurers or service contract providers; parts without individual part numbers [OTHER]; mfr-approved goodwill; windshield replacement, window etching, tints, protective films [BODY/OTHER]; body shop repairs (collision, road hazard, elements, vandalism, theft, negligence)</t>
  </si>
  <si>
    <t xml:space="preserve">45 days after the mfr receives the submission, unless rebutted within those 45 days. If the LMVC rules for the dealer, the increase is retroactive to 45 days after receipt of the original submission</t>
  </si>
  <si>
    <t xml:space="preserve">All consecutive repair orders that include one hundred sequential qualifying repair orders. (ii) All repair orders closed during any period of ninety consecutive days. … shall submit the option that produces the fewer number of repair orders</t>
  </si>
  <si>
    <t xml:space="preserve">R.S. 32:1262(A)(4)</t>
  </si>
  <si>
    <t xml:space="preserve">Reasonably substantiate that the submission is materially inaccurate. The rebuttal needs a full explanation, evidence validating each reason, a copy of all calculations, and a proposed adjusted rate based on the dealer's qualifying ROs</t>
  </si>
  <si>
    <t xml:space="preserve">One rebuttal only; it may not be expanded later except for information that was not and could not have been known. If the calculated rate is substantially higher or lower than the rate on record, the mfr may, within 45 days, request additional ROs covering 30 days before or after the submitted period. It then has 45 days from receipt to rebut</t>
  </si>
  <si>
    <t xml:space="preserve">Protest to the Louisiana Motor Vehicle Commission within 60 days of receiving the mfr's rejection and proposal. The mfr bears the burden (preponderance) of proving material inaccuracy</t>
  </si>
  <si>
    <t xml:space="preserve">The submitted parts mark-up or labor rate shall be presumed accurate, and shall go into effect forty-five days after the manufacturer … receives the submission unless, within the forty-five-day period, the manufacturer … rebuts the presumption.</t>
  </si>
  <si>
    <t xml:space="preserve">R.S. 32:1262(A)(9)(a)</t>
  </si>
  <si>
    <t xml:space="preserve">LMVC protest for rate disputes ((A)(11)); the LMVC may award costs (R.S. 32:1260(C)). No express private damages action in §§ 1258-1262</t>
  </si>
  <si>
    <t xml:space="preserve">Civil penalty up to $5,000 per day of violation, $10,000 per day for subsequent violations (R.S. 32:1260(A)). License denial, suspension or revocation for failure to comply with the chapter (R.S. 32:1258(A)(3)). Commission injunctions and cease-and-desist orders (R.S. 32:1259)</t>
  </si>
  <si>
    <t xml:space="preserve">La. R.S. 32:1258, 32:1259, 32:1260</t>
  </si>
  <si>
    <t xml:space="preserve">La. R.S. 32:1262(A); La. R.S. 32:1262(B); La. R.S. 32:1258; La. R.S. 32:1259; La. R.S. 32:1260</t>
  </si>
  <si>
    <t xml:space="preserve">https://legis.la.gov/Legis/LawPrint.aspx?d=321503</t>
  </si>
  <si>
    <t xml:space="preserve">'Warranty' expressly includes a new-vehicle warranty, a recall, or a CERTIFIED PRE-OWNED warranty ((A)(1)(a)). The rate floor keys to retail 'non-warranty qualifying repairs'. Time allowances must be 'reasonable and adequate' for a qualified technician of ordinary skill ((A)(3)). Free or reduced-cost parts earn the dealer's markup ((A)(12)). No unduly burdensome method may be required ((A)(13)). § 1262 does not apply to marine products, motorcycles, ATVs or RVs ((C)). (A) obligations for recreational products may be modified by contract ((A)(15)).</t>
  </si>
  <si>
    <t xml:space="preserve">Disapproval must be in writing or by electronic transmission within 30 days of receipt; no statement of grounds required</t>
  </si>
  <si>
    <t xml:space="preserve">A claim not disapproved in writing or by means of electronic transmission not later than 30 days after receipt shall be considered approved and payment shall be made within 30 days.</t>
  </si>
  <si>
    <t xml:space="preserve">ch. 93B, § 9(b)(4)</t>
  </si>
  <si>
    <t xml:space="preserve">Audits may reach periods beyond 1 year if there is evidence of fraud or fraudulent concealment (no cap stated)</t>
  </si>
  <si>
    <t xml:space="preserve">Measured from claim payment or end of program period, whichever is later. Chargeback only if the claim was fraudulent or false, the repairs were improper or unnecessary, or the dealer failed reasonable written requirements then in effect (d). Before any chargeback: in-person or video/teleconference meeting with a detailed explanation, supporting documents and the basis for selecting the dealer; at least 30 days to respond; basis cannot change without new information (e). No extrapolation without dealer consent (g). Written audit results due by the time of chargeback; dealer may protest (h). Retaliatory audits violate § 3(a) (i).</t>
  </si>
  <si>
    <t xml:space="preserve">for 1 year after the date on which a claim is paid or the end of any program period, whichever is later, and to charge back any amounts paid on claims identified in subsections (d) and (e).</t>
  </si>
  <si>
    <t xml:space="preserve">ch. 93B, § 9(c); see also § 9(d)-(i)</t>
  </si>
  <si>
    <t xml:space="preserve">Routine maintenance; Other (see text); Tires; Prep / reconditioning</t>
  </si>
  <si>
    <t xml:space="preserve">(a) routine maintenance not covered under any retail customer warranty, such as fluids, filters and belts not provided in the course of repairs; (b) items without an individual part number (nuts, bolts, fasteners) [OTHER]; (c) tires; (d) vehicle reconditioning. The list applies to both parts and labor.</t>
  </si>
  <si>
    <t xml:space="preserve">100 sequential nonwarranty, customer-paid service repair orders or 60 consecutive days of nonwarranty, customer-paid service repair orders, whichever is less, covering repair orders made not more than 180 days before the submission</t>
  </si>
  <si>
    <t xml:space="preserve">ch. 93B, § 9(b)(2)(ii); exclusions § 9(b)(2)(iii); frequency § 9(b)(2)(v)</t>
  </si>
  <si>
    <t xml:space="preserve">The declared average labor rate is presumed fair and reasonable. In court the manufacturer must prove the declared rate was 'inaccurate or unreasonable'.</t>
  </si>
  <si>
    <t xml:space="preserve">Audit the submitted ROs and rebut the rate. Propose an adjusted average labor rate based on the rebuttal within 30 days after submission. May not require unduly burdensome methods such as part-by-part or transaction-by-transaction calculations.</t>
  </si>
  <si>
    <t xml:space="preserve">Court of competent jurisdiction; the dealer must file within 30 days after receiving the manufacturer's proposal</t>
  </si>
  <si>
    <t xml:space="preserve">If the declared rate is rebutted, the manufacturer or distributor shall propose an adjustment of the average labor rate based on the rebuttal not later than 30 days after submission.</t>
  </si>
  <si>
    <t xml:space="preserve">ch. 93B, § 9(b)(2)(ii)</t>
  </si>
  <si>
    <t xml:space="preserve">§ 15(a): damages and equitable relief, including injunctive relief, in superior court or D. Mass. § 15(c): reasonable costs and attorneys' fees when the other side's claims or defenses were in bad faith. § 15(b): parties must meet and confer before suit. § 15(d): a settlement offer can cap the award.</t>
  </si>
  <si>
    <t xml:space="preserve">Mass. Gen. Laws ch. 93B, §§ 3(a), 9(i), 15</t>
  </si>
  <si>
    <t xml:space="preserve">Mass. Gen. Laws ch. 93B, § 9(b) (compensation, labor-rate method); ch. 93B, § 9(b)(4) (claims); § 9(c)-(h) (audits/chargebacks); ch. 93B, §§ 3(a), 9(i), 15 (remedies)</t>
  </si>
  <si>
    <t xml:space="preserve">Scope: warranty, maintenance plan, extended warranty, CPO or service contract issued by the manufacturer or distributor or its common entity, but not by a common entity that is not a manufacturer. Also recall, campaign, authorized goodwill, directive or bulletin work. Floor: 'not less than the rate and price customarily charged for retail customer repairs'. Time allowances must be 'reasonable and adequate'. Powersport and RV labor is paid at 'the rate normally charged by the motor vehicle dealer to the public'. RV parts get cost plus 30%. The labor window is 60 days, not the more common 90. The declaration takes effect by operation of law at 30 days, and the rebuttal/proposal deadline is also 30 days after submission. Dealers need not keep defective parts more than 90 days after claim submission. The 6-month filing window in § 9(j) covers incentive claims only; warranty claims have no statutory filing deadline. Ch. 93B has no manufacturer licensing or civil-penalty sanction. Effective date 10/16/2012 is computed from the 90-day rule.</t>
  </si>
  <si>
    <t xml:space="preserve">No written-grounds requirement stated. Failure to comply with a specific mfr requirement is not grounds for denial or reduction if the dealer presents documentation or other reasonable evidence that the repair and claim followed warranty guidelines ((c)(10)). No denial, reduction or chargeback for properly performed covered or recall repairs, incl. those discovered during a separate customer repair or through a recall notice ((c)(14))</t>
  </si>
  <si>
    <t xml:space="preserve">Approved or disapproved within 30 days of receipt. … A claim not approved or disapproved within 30 days of receipt shall be deemed approved. … Payment of or credit issued on a claim … shall be made within 30 days of approval.</t>
  </si>
  <si>
    <t xml:space="preserve">Transp. § 15-212(c)(9)(i)-(iii)</t>
  </si>
  <si>
    <t xml:space="preserve">The 9-month limit does not limit the right to audit any claim or to charge back any claim proven fraudulent</t>
  </si>
  <si>
    <t xml:space="preserve">Chargeback only of claims the mfr shows are false or unsubstantiated, within 9 months from payment or credit. Audits follow GAAP. No audit solely because the dealer requests retail-rate reimbursement ((c)(7)(v)). (c)(14) protections apply</t>
  </si>
  <si>
    <t xml:space="preserve">If a claim … is shown by the manufacturer or distributor to be false or unsubstantiated, the manufacturer or distributor may charge back the claim within 9 months from the date the claim was paid or credit issued.</t>
  </si>
  <si>
    <t xml:space="preserve">Transp. § 15-212(c)(11)(i)</t>
  </si>
  <si>
    <t xml:space="preserve">Accessories; Discounted / promotional; Collision / body / glass; State inspections; Insurance-paid; Service-contract paid; Routine maintenance; Tires; Prep / reconditioning; Goodwill; Other (see text)</t>
  </si>
  <si>
    <t xml:space="preserve">Accessories; mfr special events, promotions or service campaigns; collision-related repairs; emission/safety inspections required by law; wholesale parts or repairs [OTHER], or those for insurance carriers or other third-party payors; routine maintenance (fluids, filters, belts); nuts, bolts, fasteners without part numbers [OTHER]; tires; vehicle reconditioning; goodwill or policy repairs; repairs on a different line-make [OTHER]</t>
  </si>
  <si>
    <t xml:space="preserve">If approved, payment under the schedule begins within 30 days after approval. With no timely rebuttal, it takes effect on the 31st day after receipt. After a rebuttal, it begins on the 31st day after a final order, unless the fact finder provides otherwise</t>
  </si>
  <si>
    <t xml:space="preserve">whichever of the following produces fewer repair orders closed, as of the date of submission, within the preceding 180 days: 1. 100 qualifying sequential customer–paid repair orders; or 2. 90 days of qualifying customer–paid repair orders.</t>
  </si>
  <si>
    <t xml:space="preserve">Transp. § 15-212(c)(3)(i)</t>
  </si>
  <si>
    <t xml:space="preserve">Rebuttal must consist of reasonable substantiating evidence that the declared rate is materially inaccurate. In any action, the issues are limited to material inaccuracy and the licensee bears the burden ((c)(6)(v), (vii))</t>
  </si>
  <si>
    <t xml:space="preserve">Rebuttal delivered within 30 days of receipt. The licensee may not calculate its own rate or require any other method ((c)(7)(i)). It may verify effective rates once a year and raise or lower the rate prospectively ((c)(6)(viii))</t>
  </si>
  <si>
    <t xml:space="preserve">MVA license action and Administrator orders (§ 15-212(b), (d)); civil action for damages (§ 15-213); proceedings under § 15-214</t>
  </si>
  <si>
    <t xml:space="preserve">The licensee shall approve or rebut the dealer's submission within 30 days of receipt. … In the absence of a timely rebuttal by the licensee, the schedule of compensation submitted by the dealer shall go into effect on the 31st day</t>
  </si>
  <si>
    <t xml:space="preserve">Transp. § 15-212(c)(6)(ii), (iv)</t>
  </si>
  <si>
    <t xml:space="preserve">Damages and reasonable attorneys' fees for financial injury from a subtitle violation, in any court of competent jurisdiction (§ 15-213)</t>
  </si>
  <si>
    <t xml:space="preserve">License refusal, suspension, revocation or nonrenewal for failing to comply with a written warranty agreement or to reasonably compensate for warranty work ((b)(2)-(3)). The Administrator may fine up to $50,000 per violation and order compensation for financial injury ((d))</t>
  </si>
  <si>
    <t xml:space="preserve">Md. Code, Transp. §§ 15-212(b), (d); 15-213</t>
  </si>
  <si>
    <t xml:space="preserve">Md. Code, Transp. § 15-212(c); Md. Code, Transp. § 15-212(b)(2)-(3); Md. Code, Transp. § 15-212(d); Md. Code, Transp. § 15-213</t>
  </si>
  <si>
    <t xml:space="preserve">Warranty rules are in § 15-212(c); § 15-212.1 covers incentive and reimbursement programs, not warranty. Time allowances must be 'reasonable and adequate' ((c)(1)(iii)). The labor floor is the 'current labor rate for nonwarranty repairs of a like kind'; the statute gives a parts formula only, no labor arithmetic. Free parts earn the dealer's markup ((c)(5)). Anti-retaliation and uniformity rules are in (c)(7). (c)(1)-(7) do not apply to travel trailers or non-OEM motor-home living components ((c)(8)). The 9-month chargeback window is the shortest in this group, and audits themselves are not time-limited.</t>
  </si>
  <si>
    <t xml:space="preserve">A claim may be submitted within 90 days after the services are performed</t>
  </si>
  <si>
    <t xml:space="preserve">The franchisor may not deny claim elements based on an incidental failure to meet a claim requirement, a clerical error or another technicality, if the dealer corrects it under licensee guidelines (§ 1176; § 1176-A for paid claims)</t>
  </si>
  <si>
    <t xml:space="preserve">Written notice within the 60-day period, with the specific reasons for disapproval</t>
  </si>
  <si>
    <t xml:space="preserve">must be paid within 60 days of its approval. All the claims must be either approved or disapproved within 60 days of their receipt. A claim may be submitted within 90 days after the performance of services.</t>
  </si>
  <si>
    <t xml:space="preserve">10 M.R.S. § 1176, ¶1</t>
  </si>
  <si>
    <t xml:space="preserve">The mfr may 'reasonably and periodically' audit to determine the validity of paid claims. The only express time limit (12 months before the audit-notice date) applies to audits of incentive payments, not warranty claims. Paid-claim elements may not be denied for clerical errors the dealer corrects</t>
  </si>
  <si>
    <t xml:space="preserve">A manufacturer may reasonably and periodically audit a new motor vehicle dealer to determine the validity of paid claims or any charge-backs for customer or dealer incentives. Audits of incentive payments may be only for the 12-month period immediately preceding</t>
  </si>
  <si>
    <t xml:space="preserve">10 M.R.S. § 1176-A</t>
  </si>
  <si>
    <t xml:space="preserve">Retail rate customarily charged by the dealer for the same labor when not performed under warranty, provided the nonwarranty labor rate is routinely posted in a place conspicuous to service customers</t>
  </si>
  <si>
    <t xml:space="preserve">None for labor. Parts-markup sample only: excludes warranty repairs, state inspection, routine maintenance such as oil and oil filter changes, and accessories</t>
  </si>
  <si>
    <t xml:space="preserve">reimburse the franchisee for any labor so performed at the retail rate customarily charged by that franchisee for the same labor when not performed in satisfaction of a warranty; as long as the franchisee's rate … is routinely posted</t>
  </si>
  <si>
    <t xml:space="preserve">Complaint to the Maine Motor Vehicle Franchise Board (§ 1188), or a court action (§ 1173). A dealer who wins a suit on a disapproved claim recovers costs and reasonable attorney fees (§ 1176)</t>
  </si>
  <si>
    <t xml:space="preserve">Shall review written complaints filed with the board by persons complaining of conduct governed by this chapter</t>
  </si>
  <si>
    <t xml:space="preserve">10 M.R.S. § 1188(1)</t>
  </si>
  <si>
    <t xml:space="preserve">Damages and equitable relief incl. an injunction; mandatory attorney's fees and costs to a prevailing dealer (§ 1173(1)). Court costs and reasonable attorney fees, based on time, to a dealer who successfully sues on a disapproved claim (§ 1176)</t>
  </si>
  <si>
    <t xml:space="preserve">Franchise Board civil penalty of $1,000-$10,000 per violation; multiple transactions within 60 days count as one violation (§ 1171-B(3); § 1188(3)). A violation of the chapter (other than § 1174-D) is a Class E crime (§ 1186)</t>
  </si>
  <si>
    <t xml:space="preserve">10 M.R.S. §§ 1171-B(3), 1173(1), 1176, 1186, 1188</t>
  </si>
  <si>
    <t xml:space="preserve">10 M.R.S. § 1176; 10 M.R.S. § 1176-A; 10 M.R.S. § 1174(3)(C-3), (5); 10 M.R.S. § 1173(1); 10 M.R.S. §§ 1171-B(3), 1188; 10 M.R.S. § 1186</t>
  </si>
  <si>
    <t xml:space="preserve">Parts: vehicles over 10,000 lb GVWR get only 'adequately and fairly compensate'; all others get the retail markup. The GVWR split does not apply to labor. Motor-home living components are excluded from retail parts pricing. No cost recovery. The franchisor may not restrict labor or parts in ways that impair warranty service. Recall labor and parts claims are processed and paid like § 1176 warranty claims (§ 1174(3)(C-3)). No denial of a warranty or recall claim discovered during a separate customer repair (§ 1174(5)). The statute has no time-allowance rule. Confidence is medium only because 2026-session currency is unverified.</t>
  </si>
  <si>
    <t xml:space="preserve">No right to resubmit is stated. A claim may not be denied for an incidental failure to follow a processing requirement, such as a clerical error, that does not question legitimacy ((6)).</t>
  </si>
  <si>
    <t xml:space="preserve">Must be 'specifically disapproved in writing' within 30 days after receipt of the claim form</t>
  </si>
  <si>
    <t xml:space="preserve">Any claim not specifically disapproved in writing within 30 days after the manufacturer receives the claim form is considered approved, and the manufacturer shall pay the claim within 30 days.</t>
  </si>
  <si>
    <t xml:space="preserve">Mich. Comp. Laws § 445.1577(3); (6)</t>
  </si>
  <si>
    <t xml:space="preserve">6 years after payment for fraudulent claims</t>
  </si>
  <si>
    <t xml:space="preserve">Chargeback only if the claim is fraudulent, or false, unsubstantiated, lacking proper documentation, or shows an improper diagnosis process or repair procedure. The dealer has 14 days after chargeback notice to supply documentation ((5)). Before any chargeback, the manufacturer must meet in person, by video or by phone with a dealer designee, or answer the dealer's written request in writing. At the meeting it must give a detailed explanation, documents and the selection basis, and then allow at least 45 days to respond ((10)). Audits are allowed only within the chargeback periods ((11)). The dealer must keep records 2 years ((7)).</t>
  </si>
  <si>
    <t xml:space="preserve">the manufacturer may not charge back the amount paid if the claim is found to be false, unsubstantiated, to lack proper documentation, or show an improper diagnosis process or repair procedures more than 12 months after payment.</t>
  </si>
  <si>
    <t xml:space="preserve">Mich. Comp. Laws § 445.1577(4)(b); fraud (4)(a); (5), (10), (11)</t>
  </si>
  <si>
    <t xml:space="preserve">total labor sales from the submitted ROs ÷ total number of hours that generated those sales</t>
  </si>
  <si>
    <t xml:space="preserve">Discounted / promotional; Other (see text); Routine maintenance; Tires; Prep / reconditioning; Accessories; Collision / body / glass; State inspections; Goodwill; Government</t>
  </si>
  <si>
    <t xml:space="preserve">(a) manufacturer special events, specials, or promotional discounts; (b) parts sold at wholesale [OTHER]; (c) routine maintenance not covered under any retail customer warranty (oil changes, fluids, filters, belts not provided in the course of repairs); (d) nuts, bolts, fasteners without individual part number [OTHER]; (e) tires, tire repair, tire rotation, other tire services; (f) vehicle reconditioning; (g) installation or repair of accessories; (h) collision/road-hazard/elements/vandalism/theft body damage; (i) emission or safety inspections required by law; (j) manufacturer-approved and reimbursed goodwill or policy repairs; (k) repairs with volume discounts negotiated with government agencies. List applies to parts and labor.</t>
  </si>
  <si>
    <t xml:space="preserve">30 days after manufacturer approval, unless the manufacturer disapproves and timely contests</t>
  </si>
  <si>
    <t xml:space="preserve">100 consecutive and sequential nonwarranty customer-paid service repair orders that contain repairs for like services or all nonwarranty customer-paid service repair orders covering a period of 90 consecutive days, whichever is less.</t>
  </si>
  <si>
    <t xml:space="preserve">Mich. Comp. Laws § 445.1577a(2)(a); formula (2)(c); exclusions (3); frequency (5)</t>
  </si>
  <si>
    <t xml:space="preserve">Contest within 45 days by 'reasonably substantiating that the rate is inaccurate, incomplete, or unreasonable' in light of the principal factor: retail labor rates of similarly situated same line-make dealers in a comparable geographic area of Michigan ((1)(b))</t>
  </si>
  <si>
    <t xml:space="preserve">Give a written explanation of the reasons for disagreement and propose an adjusted rate. Any internal dispute resolution must finish within 45 days after notice of disagreement. If the rate is 'substantially higher or lower' than the rate on record, the manufacturer may request more documentation for 60 days before or after the sample period ((2)(b)).</t>
  </si>
  <si>
    <t xml:space="preserve">Circuit court of the dealer's county. File within 60 days after receiving the proposed adjustment or 30 days after internal dispute resolution ends, whichever is later. The manufacturer bears the burden of proof.</t>
  </si>
  <si>
    <t xml:space="preserve">The manufacturer must approve or disapprove the declared retail rate within 45 days after the date the dealer submits the repair orders.</t>
  </si>
  <si>
    <t xml:space="preserve">Mich. Comp. Laws § 445.1577a(2)(c)-(e)</t>
  </si>
  <si>
    <t xml:space="preserve">§ 445.1580(2): the manufacturer is liable for all damages the dealer sustains from a violation. (3): declaratory judgment. (4): all court costs and reasonable attorney fees. § 445.1581: injunctive relief or TRO, which may be granted without bond.</t>
  </si>
  <si>
    <t xml:space="preserve">Mich. Comp. Laws §§ 445.1580, 445.1581</t>
  </si>
  <si>
    <t xml:space="preserve">Mich. Comp. Laws § 445.1577a (labor-rate method); Mich. Comp. Laws § 445.1577(1), (3)-(11) (compensation, claims, chargebacks, audits); Mich. Comp. Laws §§ 445.1580, 445.1581 (remedies)</t>
  </si>
  <si>
    <t xml:space="preserve">https://www.legislature.mi.gov/Laws/MCL?objectName=mcl-445-1577 ; https://www.legislature.mi.gov/Laws/MCL?objectName=mcl-445-1577a</t>
  </si>
  <si>
    <t xml:space="preserve">The deemed-approval sentence in (2)(c) ('If a manufacturer fails to disapprove within 45 days ... the declared retail rate is considered approved') sits among the parts-markup sentences. The labor sentences only require approval or disapproval within 45 days. Applying deemed approval to labor is a reasonable reading but an inference. The time allowance comes from the manufacturer's schedule; the dealer may request more diagnostic or repair time, and the manufacturer 'shall not unreasonably deny' it. The reimbursement duty covers recall and warranty service required by the manufacturer. The Act's promotion/incentive claims run on a 15-day payment clock ((9)). Act 118 has no administrative penalty.</t>
  </si>
  <si>
    <t xml:space="preserve">Resubmit within 30 days after notice of a denial or chargeback based on an incidental processing failure, clerical error or administrative technicality</t>
  </si>
  <si>
    <t xml:space="preserve">Must be 'specifically disapproved in writing' within 30 days after receipt. No denial or chargeback based solely on a clerical error or technicality that does not question legitimacy.</t>
  </si>
  <si>
    <t xml:space="preserve">Any claims not specifically disapproved in writing within 30 days after the manufacturer receives them are deemed to be approved and payment must follow within 30 days</t>
  </si>
  <si>
    <t xml:space="preserve">Minn. Stat. § 80E.041, subd. 8(a), (c)</t>
  </si>
  <si>
    <t xml:space="preserve">Audit right lasts 'a period of one year'. Chargebacks only for claims 'not reasonably substantiated or fraudulent', and the manufacturer bears the burden of proof. The same audit and chargeback limits apply to other incentive and reimbursement programs. No chargeback solely for a clerical or administrative technicality (30-day resubmission). The statute sets no longer window for fraud. § 80E.045 subd. 4 bars retaliatory chargebacks over recall/stop-sale claims.</t>
  </si>
  <si>
    <t xml:space="preserve">the manufacturer retains the right to audit the claims for a period of one year and to charge back any amounts paid on claims not reasonably substantiated or fraudulent claims.</t>
  </si>
  <si>
    <t xml:space="preserve">Minn. Stat. § 80E.041, subd. 8(a)-(c)</t>
  </si>
  <si>
    <t xml:space="preserve">total customer labor charges for qualifying nonwarranty repairs in the submitted ROs ÷ total labor hours that generated those sales. Warranty pay = that rate × the dealer's own nonwarranty time guide (actual time if no guide exists), including all diagnostic time.</t>
  </si>
  <si>
    <t xml:space="preserve">Discounted / promotional; Other (see text); Engine / transmission assembly; Routine maintenance; Tires; Prep / reconditioning; Accessories</t>
  </si>
  <si>
    <t xml:space="preserve">(1) manufacturer/distributor special events, specials, promotional discounts; (2) parts sold at wholesale [OTHER]; (3) engine and transmission assemblies if dealer agrees to a handling charge instead of retail markup; (4) routine maintenance at predetermined intervals not covered under any retail customer warranty (fluids, filters, belts not provided in the course of repairs); (5) nuts, bolts, fasteners without individual part number [OTHER]; (6) tires and labor to install or repair; (7) vehicle reconditioning; (8) accessories. The list expressly applies to subd. 2 and subd. 4 calculations.</t>
  </si>
  <si>
    <t xml:space="preserve">The effective nonwarranty labor rate is determined by dividing the total customer labor charges for qualifying nonwarranty repairs in the repair orders submitted under subdivision 2 by the total number of labor hours that generated those sales.</t>
  </si>
  <si>
    <t xml:space="preserve">Minn. Stat. § 80E.041, subd. 4(a); sample subd. 2(a); exclusions subd. 2(d); frequency subd. 5</t>
  </si>
  <si>
    <t xml:space="preserve">Written disapproval with 'a reasonable substantiation that the effective nonwarranty labor rate submission is inaccurate, incomplete, or unreasonable in light of a comparison to the retail rate charged by other similarly situated franchised' same line-make dealers in a comparable geographic area in Minnesota. With fewer than 5 same-line-make dealers in the state, U.S. comparisons are allowed (subd. 7).</t>
  </si>
  <si>
    <t xml:space="preserve">Written disapproval sent within 30 days of submission, with substantiation and a proposed adjusted rate. Then the manufacturer's internal dispute resolution procedure, if any.</t>
  </si>
  <si>
    <t xml:space="preserve">Civil suit under § 80E.17, filed within 60 days after receiving the proposed adjustment or the end of internal dispute resolution, whichever is later</t>
  </si>
  <si>
    <t xml:space="preserve">If a manufacturer fails to approve or disapprove the rate within this time period, the rate is approved.</t>
  </si>
  <si>
    <t xml:space="preserve">Minn. Stat. § 80E.041, subd. 4(b)-(c); subd. 7</t>
  </si>
  <si>
    <t xml:space="preserve">§ 80E.17: injunction against further violations, actual damages, and costs and disbursements including reasonable attorney's fees</t>
  </si>
  <si>
    <t xml:space="preserve">§ 80E.16 subd. 1: fine up to $2,000 per violation of § 80E.041, and up to $25,000 for failing to comply with a final judgment or order. Imposed in a civil action brought by the Attorney General.</t>
  </si>
  <si>
    <t xml:space="preserve">Minn. Stat. §§ 80E.16, 80E.17</t>
  </si>
  <si>
    <t xml:space="preserve">Minn. Stat. § 80E.041, subds. 1-7 (compensation; labor rate); Minn. Stat. § 80E.041, subd. 8 (claims, audit, chargeback); Minn. Stat. §§ 80E.16 (civil penalty), 80E.17 (civil remedies)</t>
  </si>
  <si>
    <t xml:space="preserve">The subd. 4 method applies only 'at the election of the dealer'. Otherwise labor pay must only be 'reasonable'. Since 10/1/2023, labor hours come from the dealer's own customer-pay time guide, not the manufacturer's allowance. Where no guide exists, actual time is paid, but not less than the time charged to retail customers. All diagnostic time counts, including time spent with manufacturer technical assistance. The statute sets no effective date for an approved rate. Cost recovery is limited: 60 days' notice with substantiation, and it is suspended while a dispute is pending (subd. 6). 'Manufacturer' includes distributors and engine manufacturers (subd. 10).</t>
  </si>
  <si>
    <t xml:space="preserve">No statutory deadline. The franchisor may not require a claim to be submitted sooner than 30 days after the work is completed.</t>
  </si>
  <si>
    <t xml:space="preserve">If a claim is incomplete or inaccurate, the franchisor must promptly notify the dealer, and the filing deadline extends at least 5 business days after that notice</t>
  </si>
  <si>
    <t xml:space="preserve">Must be 'specifically disapproved in writing' within 30 days after receipt. Written notice of an adverse decision starts the dealer's 60-day window to complain to the Administrative Hearing Commission.</t>
  </si>
  <si>
    <t xml:space="preserve">Any claims not specifically disapproved in writing within thirty days after the receipt of the form shall be considered to be approved and payment shall be made within fifteen days thereafter.</t>
  </si>
  <si>
    <t xml:space="preserve">Mo. Rev. Stat. § 407.828.4; .10; .12</t>
  </si>
  <si>
    <t xml:space="preserve">2 years after payment for suspected fraudulent claims, if the franchisor has good cause to believe fraud</t>
  </si>
  <si>
    <t xml:space="preserve">Only unsubstantiated claims may be charged back. No documentation demands more than 12 months after payment. Before any chargeback, reimbursement or credit, the franchisor must give written notice with a copy of the audit and the detailed reason for each item. A complaint to the Administrative Hearing Commission within 60 days stays the chargeback.</t>
  </si>
  <si>
    <t xml:space="preserve">A franchisor may only audit warranty, sales, or incentive claims and charge-back to the franchisee unsubstantiated claims for a period of twelve months following payment, subject to all of the provisions of this section.</t>
  </si>
  <si>
    <t xml:space="preserve">Mo. Rev. Stat. § 407.828.11(1)-(3); .12</t>
  </si>
  <si>
    <t xml:space="preserve">Discounted / promotional; Other (see text); Engine / transmission assembly; Routine maintenance; Tires; Prep / reconditioning</t>
  </si>
  <si>
    <t xml:space="preserve">(1) franchisor/manufacturer/distributor special events, specials, or promotional discounts; (2) parts sold at wholesale [OTHER]; (3) engine assemblies and transmission assemblies; (4) routine maintenance not covered under any retail customer warranty (fluids, filters, belts not provided in the course of repairs); (5) nuts, bolts, fasteners without individual part number [OTHER]; (6) tires; (7) vehicle reconditioning. The list applies to the retail rate for 'parts, service, and labor'.</t>
  </si>
  <si>
    <t xml:space="preserve">A franchisee shall not request a franchisor to approve a different labor rate or parts rate more than twice in one calendar year.</t>
  </si>
  <si>
    <t xml:space="preserve">Mo. Rev. Stat. § 407.828.9; exclusions .7; principal factor .2</t>
  </si>
  <si>
    <t xml:space="preserve">Principal factor for reasonable labor compensation: 'the prevailing wage rates being charged for similar labor and service by the franchisee' to retail customers for nonwarranty work (the dealer's own rates since the 2023 amendment)</t>
  </si>
  <si>
    <t xml:space="preserve">Administrative Hearing Commission (§ 407.822). File within 60 days after written notice denying a rate-increase request. Filing stays the denial. Hearing within 60 days after the answer. If the franchisor violated the section, the denial is void and the dealer is paid within 15 days of the order.</t>
  </si>
  <si>
    <t xml:space="preserve">If a complaint is filed within the sixty days, then the denial or reduction of reimbursement, denial of a request for an increase in labor or parts rate, charge-back, or other determination by a franchisor</t>
  </si>
  <si>
    <t xml:space="preserve">Mo. Rev. Stat. § 407.828.12; principal factor § 407.828.2</t>
  </si>
  <si>
    <t xml:space="preserve">§ 407.835.1: actual damages plus litigation expenses, including expert fees and attorney fees, and injunctive relief. § 407.835.2: punitive damages for willful violations. Arbitration mandates, jury waivers, out-of-state forums and fee-shifting to the dealer are void (.3). AHC complaint with automatic stay (§§ 407.822, 407.828.12).</t>
  </si>
  <si>
    <t xml:space="preserve">Department of Revenue may refuse, suspend or revoke a license issued under §§ 301.550-301.580 (which includes manufacturers under § 301.559) for violating chapter 407, after AHC proceedings (§ 301.562.2(6), .3)</t>
  </si>
  <si>
    <t xml:space="preserve">Mo. Rev. Stat. §§ 407.822, 407.828.12, 407.835; § 301.562</t>
  </si>
  <si>
    <t xml:space="preserve">Mo. Rev. Stat. § 407.828.1-.2, .7, .9 (compensation; exclusions; rate requests); Mo. Rev. Stat. § 407.828.4, .10-.12 (claims; audits/chargebacks; AHC complaints); Mo. Rev. Stat. §§ 407.822, 407.835; § 301.562 (remedies; license discipline)</t>
  </si>
  <si>
    <t xml:space="preserve">The statute has no labor-rate declaration procedure, sample or response deadline. Disputes run through the AHC complaint process. Time comes from the franchisor schedule, which must include 'reasonable and adequate time allowances'. Deemed-approved claims are paid in 15 days (it was 10 before 2023 S.B. 398). Dealers need not keep defective parts more than 30 days after submission. Free parts are paid at average markup, except whole engine, propulsion engine (including EV battery) and transmission assemblies (.8). Incentive claims are paid within 10 days of approval (.6).</t>
  </si>
  <si>
    <t xml:space="preserve">None stated for warranty claims. The 60-day amended/supplemental-claim right in § 63-17-117(3) covers incentive claims only.</t>
  </si>
  <si>
    <t xml:space="preserve">Written notice of disapproval within the 30 days, stating 'the specific grounds upon which the disapproval is based'. No denial based solely on an incidental clerical or administrative failure that does not question legitimacy (§ 63-17-117(3)).</t>
  </si>
  <si>
    <t xml:space="preserve">All claims made by motor vehicle dealers hereunder for such labor and/or parts shall be paid within thirty (30) days following their approval. All such claims shall be either approved or disapproved within thirty (30) days after their receipt</t>
  </si>
  <si>
    <t xml:space="preserve">Miss. Code Ann. § 63-17-85(j) (codified text, Justia 2025); § 63-17-117(3)</t>
  </si>
  <si>
    <t xml:space="preserve">Audit and chargeback limits 'shall not be effective in the case of intentionally false or fraudulent claims' (no cap)</t>
  </si>
  <si>
    <t xml:space="preserve">The window runs from payment of the disputed claim. Chargeback only if the manufacturer shows by a preponderance of the evidence that the claim was false or fraudulent, the repairs were improper or unnecessary under generally accepted workmanship standards, or the dealer failed to reasonably substantiate the repair under the manufacturer's reasonable written claim requirement.</t>
  </si>
  <si>
    <t xml:space="preserve">Any audit for warranty parts or service compensation shall be performed within the twelve-month period immediately following the date of the payment of the disputed claim by the manufacturer or distributor.</t>
  </si>
  <si>
    <t xml:space="preserve">Miss. Code Ann. § 63-17-117(1); (2), (4)</t>
  </si>
  <si>
    <t xml:space="preserve">Discounted / promotional; Other (see text); Internal; Routine maintenance; Accessories; Tires; Alignments; Prep / reconditioning; State inspections; Government; Insurance-paid; Collision / body / glass; Goodwill</t>
  </si>
  <si>
    <t xml:space="preserve">(a) repairs subject to manufacturer discounts (special events, specials, promotions, coupons, service campaigns); (b) parts sold at wholesale [OTHER]; (c) repairs of dealer-owned vehicles; (d) routine maintenance incl. fluids, filters, batteries, bulbs, belts, nuts, bolts, fasteners unless part of a qualified repair; (e) accessory installations; (f) tires, wheels, or brakes incl. alignments, wheel/tire rotations, brake drums, rotors, shoes, pads [brakes = OTHER]; (g) vehicle reconditioning; (h) safety or emission inspections required by law; (i) volume-discount repairs for government agencies or insurers; (j) bodyshop repairs (collision, road hazard, elements, vandalism, theft, negligence); (k) parts without individual part numbers [OTHER]; (l) manufacturer-approved and reimbursed goodwill; (m) window replacement [BODY], window etching, tint, protective film or other masking products [OTHER].</t>
  </si>
  <si>
    <t xml:space="preserve">45 days after the manufacturer receives the submission, unless rebutted within that period</t>
  </si>
  <si>
    <t xml:space="preserve">all consecutive repair orders that include one hundred (100) sequential repair orders reflecting qualified repairs, or all repair orders closed during any period of ninety (90) consecutive days, whichever produces the fewer number of repair orders</t>
  </si>
  <si>
    <t xml:space="preserve">Miss. Code Ann. § 63-17-86(1); formula (2); frequency (3); exclusions (4); definitions § 63-17-55(ff)-(hh)</t>
  </si>
  <si>
    <t xml:space="preserve">The submitted rate is presumed reasonable. To rebut, the manufacturer must reasonably substantiate that it is 'materially incomplete, materially inaccurate or ... materially unreasonable'.</t>
  </si>
  <si>
    <t xml:space="preserve">One rebuttal only, with a full explanation of all reasons, evidence for each, all calculations and a proposed adjusted rate. The grounds cannot be supplemented later. If the rate is 'substantially higher or lower' than the rate on record, the manufacturer may request additional ROs for 60 days before or after the sample period and then has 45 days to rebut.</t>
  </si>
  <si>
    <t xml:space="preserve">Protest to the Mississippi Motor Vehicle Commission within 60 days of the written rejection. The manufacturer bears the burden by a preponderance. A dealer win is retroactive to day 45 after the original submission.</t>
  </si>
  <si>
    <t xml:space="preserve">shall go into effect forty-five (45) days after the manufacturer's receipt of its submission, unless, within such period, the manufacturer rebuts that presumption, by reasonably substantiating that such submission is materially incomplete, materially inaccurate or is materially unreasonable</t>
  </si>
  <si>
    <t xml:space="preserve">Miss. Code Ann. § 63-17-86(5)-(6)</t>
  </si>
  <si>
    <t xml:space="preserve">§ 63-17-119(1): a dealer with pecuniary loss from a violation may recover damages plus costs, including reasonable attorneys' fees. Out-of-state venue and jury waivers are void. § 63-17-101: a licensee may recover reasonable damages and attorney fees for another licensee's willful noncompliance.</t>
  </si>
  <si>
    <t xml:space="preserve">§ 63-17-85(j)-(k): Motor Vehicle Commission may deny, suspend or revoke the manufacturer's license. In lieu of revocation, a civil penalty up to $10,000. In lieu of suspension, $50-$500 per day, capped at $7,500 total. Unpaid penalties lead to automatic revocation.</t>
  </si>
  <si>
    <t xml:space="preserve">Miss. Code Ann. §§ 63-17-85, 63-17-101, 63-17-119</t>
  </si>
  <si>
    <t xml:space="preserve">Miss. Code Ann. §§ 63-17-85(j), 63-17-86 (compensation; labor-rate method); Miss. Code Ann. § 63-17-117 (warranty audits, chargebacks); Miss. Code Ann. §§ 63-17-85 (license sanctions, civil penalty), 63-17-101, 63-17-119 (damages)</t>
  </si>
  <si>
    <t xml:space="preserve">https://billstatus.ls.state.ms.us/documents/2021/html/HB/0700-0799/HB0746SG.htm (enrolled HB 746, Laws 2021 ch. 315). Current code mirror: https://law.justia.com/codes/mississippi/title-63/chapter-17/distribution-and-sales/ (2025 code)</t>
  </si>
  <si>
    <t xml:space="preserve">The official Mississippi Code is Lexis-only. Text comes from the enrolled 2021 HB 746 and matches the Justia 2025 mirror; the codified § 63-17-85(j) drops 'incidental expenses'. The statute has no deemed-approval rule for warranty claims. The payment clock runs only from approval. Dealers may not charge the manufacturer a labor rate 'in excess of the rate charged to its retail customers'. Time allowances must be 'reasonable and adequate' using 'the actual time required by a qualified technician of ordinary skill'. 'Warranty work' covers new-vehicle warranty, recall and CPO warranty, not service contracts. Recall and stop-sale claims follow the same § 63-17-85(j) limits (§ 63-17-73(4)(f)). The MMVC agency website still shows pre-2021 text.</t>
  </si>
  <si>
    <t xml:space="preserve">Written notice of the grounds for disapproval. No denial or reduction where the dealer gave reasonably sufficient documentation of compliance with the manufacturer's known written policies. No denial based solely on a clerical error or administrative technicality.</t>
  </si>
  <si>
    <t xml:space="preserve">All claims for reimbursement must be approved or disapproved within 30 days after receipt of the claim by the motor vehicle franchisor.</t>
  </si>
  <si>
    <t xml:space="preserve">Mont. Code Ann. § 61-4-213(12)(a)-(d)</t>
  </si>
  <si>
    <t xml:space="preserve">A paid claim may be charged back only if it was false or fraudulent, the labor was not properly performed, or the parts or labor were unnecessary. The 12-month audit bar ((12)(e)) states no fraud exception. Conducting or threatening a warranty or other service audit to deter a dealer from seeking compensation under the section is a prohibited adverse action ((8)(e)(v)).</t>
  </si>
  <si>
    <t xml:space="preserve">A franchisor may not audit a claim after the expiration of 12 months following the payment of the claim.</t>
  </si>
  <si>
    <t xml:space="preserve">Mont. Code Ann. § 61-4-213(12)(b), (e); (8)(e)(v)</t>
  </si>
  <si>
    <t xml:space="preserve">total charges for labor from the qualified repairs submitted ÷ total number of hours charged for those repairs</t>
  </si>
  <si>
    <t xml:space="preserve">Routine maintenance; Tires; Alignments; Government; Insurance-paid; Service-contract paid; Discounted / promotional; Internal; Accessories; Collision / body / glass; State inspections; Prep / reconditioning; Other (see text); Goodwill</t>
  </si>
  <si>
    <t xml:space="preserve">(A) routine maintenance incl. fluids, filters, batteries, bulbs, belts, nuts, bolts, fasteners unless part of a repair; (B) tires, wheels, related elements incl. alignments and tire/wheel rotations; (C) volume-discount repairs negotiated with government agencies, insurers, extended warranty or service contract providers, or other third-party payors; (D) franchisor special events, promotions, service campaigns or other franchisor discounts; (E) vehicles owned by the dealer or a dealer employee; (F) accessory installations; (G) collision, road hazard, elements, vandalism, theft, negligence/deliberate acts; (H) safety or emission inspections required by law; (I) vehicle reconditioning; (J) parts sold at wholesale [OTHER]; (K) repairs using aftermarket parts [OTHER]; (L) franchisor-approved and reimbursed goodwill.</t>
  </si>
  <si>
    <t xml:space="preserve">30 days after the franchisor receives the dealer's written notice, unless it files a timely objection. A resolved dispute applies retroactively to that date.</t>
  </si>
  <si>
    <t xml:space="preserve">whichever of the following produces the fewer number of repair orders, all of which must be for repairs made no more than 180 days before the submission</t>
  </si>
  <si>
    <t xml:space="preserve">Mont. Code Ann. § 61-4-213(1)(a)(iii), (1)(b); formula (2); frequency (9); exclusions (13)(c)(ii)</t>
  </si>
  <si>
    <t xml:space="preserve">The only permitted ground is that the declared rate is 'materially inaccurate'. In a proceeding the issue is limited to material inaccuracy, and the franchisor bears the burden of proof.</t>
  </si>
  <si>
    <t xml:space="preserve">One written notice of objection, received by the dealer within 30 days. It must contain a full explanation of every reason, evidence for each, all calculations and a proposed adjusted rate. It cannot be supplemented except in litigation. The franchisor may not start its own rate process, substitute a different RO sample, or use the parts sample to cut the labor rate ((8)(a)).</t>
  </si>
  <si>
    <t xml:space="preserve">Court, or a contested-case proceeding before 'the department' (§§ 61-4-216, 61-4-217(2)). Resolution is retroactive to day 30 after the submission was received.</t>
  </si>
  <si>
    <t xml:space="preserve">must go into effect 30 days following the motor vehicle franchisor's receipt of the notice referred to in subsection (2) unless within the 30-day period the franchisor contests the declaration by written notice of objection</t>
  </si>
  <si>
    <t xml:space="preserve">Mont. Code Ann. § 61-4-213(6)(a)-(c), (7), (8)(a)</t>
  </si>
  <si>
    <t xml:space="preserve">§ 61-4-210(3): three times the pecuniary loss plus costs, including reasonable attorney fees. § 61-4-217: actual damages, declaratory or injunctive relief, and costs and attorney fees to the prevailing party; damages up to 3x for willful violations. Dealer associations have standing. § 61-4-216: administrative hearing on § 61-4-213 claims.</t>
  </si>
  <si>
    <t xml:space="preserve">§ 61-4-210(1): misdemeanor, $500-$1,000 per violation, each day a separate violation. (4): department enforcement action and a civil penalty of up to $500 per violation.</t>
  </si>
  <si>
    <t xml:space="preserve">Mont. Code Ann. §§ 61-4-210, 61-4-216, 61-4-217</t>
  </si>
  <si>
    <t xml:space="preserve">Mont. Code Ann. § 61-4-213(1)-(9), (13) (reimbursement; labor-rate method; definitions); Mont. Code Ann. § 61-4-213(12) (claims, chargebacks, audits); Mont. Code Ann. §§ 61-4-210, 61-4-216, 61-4-217 (penalties; administrative hearings; standing/remedies)</t>
  </si>
  <si>
    <t xml:space="preserve">The dealer may be paid on the franchisor's labor time guide or 'the labor time guide used by the dealer' for customer-pay work, at the dealer's election ((1)(a)(i)). Subsection (6)(a) cross-references the notice 'referred to in subsection (2)', but the notice duty is in (4), an apparent drafting slip. 'Warranty' means new-vehicle warranty, predelivery preparation, recall or CPO warranty issued or administered by the franchisor ((13)(f)). RV parts are paid at wholesale plus at least 30% handling ((10)). Franchisor cost recovery is barred ((8)(b)). The claims clock carries no deemed-approval language.</t>
  </si>
  <si>
    <t xml:space="preserve">dealer notified in writing of the grounds for disapproval; no denial/reduction if dealer documents a good-faith attempt to follow written procedures and that the work was actually performed</t>
  </si>
  <si>
    <t xml:space="preserve">shall be paid by the manufacturer within 30 days after receipt of claim from the dealer ... Any claim not specifically disapproved in writing within 30 days after receipt shall be considered approved and payment is due immediately.</t>
  </si>
  <si>
    <t xml:space="preserve">§ 20-305.1(b1)</t>
  </si>
  <si>
    <t xml:space="preserve">Limits 'shall not be effective in the case of fraudulent claims'. For-cause audits (follow-up on a prior documentation violation within 12 months, or reasonable evidence of malfeasance/fraud) are exempt from the once-per-12-months limit.</t>
  </si>
  <si>
    <t xml:space="preserve">Non-cause audits once per 12 months. Chargeback only if the claim was false/fraudulent, the repair was improper or unnecessary, or the claim was not reasonably substantiated. Documentation-procedure chargebacks need a repeat violation within 12 months plus a prior certified-mail warning. An in-person/phone meeting is required before chargeback. Contingency-fee auditors are banned (b4). Chargebacks stayed on petition to the Commissioner (c).</t>
  </si>
  <si>
    <t xml:space="preserve">Any audit, other than an audit conducted for cause, for warranty or recall parts or service compensation ... shall only be for the 12-month period immediately following the date of the payment of the claim</t>
  </si>
  <si>
    <t xml:space="preserve">§ 20-305.1(b), (b1), (b4), (c)</t>
  </si>
  <si>
    <t xml:space="preserve">Discounted / promotional; Insurance-paid; Engine / transmission assembly; Routine maintenance; Alignments; Tires; Prep / reconditioning; Other (see text)</t>
  </si>
  <si>
    <t xml:space="preserve">(1) manufacturer/distributor special events, specials, coupons or other promotional discounts; (2) parts sold at wholesale or at reduced/specially negotiated rates for insurance repairs; (3) engine and transmission assemblies; (4) routine maintenance incl. fluids, filters, alignments, flushes, oil changes, belts, and brake drums/rotors and shoes/pads not provided in the course of repairs; (5) nuts, bolts, fasteners without individual part number; (6) tires and vehicle alignments; (7) vehicle reconditioning; (8) batteries and light bulbs [OTHER = wholesale parts, brakes, fasteners, batteries/bulbs]</t>
  </si>
  <si>
    <t xml:space="preserve">Not stated for an unrebutted rate. If the dealer wins a protest, the rate is effective 60 days after the initial submission. If the manufacturer wins, its rate is effective 30 days after the final order.</t>
  </si>
  <si>
    <t xml:space="preserve">may be established at the election of the dealer by the dealer submitting to the manufacturer or distributor 100 sequential nonwarranty customer-paid service repair orders which contain warranty-like parts, or 60 consecutive days of nonwarranty customer-paid service repair orders</t>
  </si>
  <si>
    <t xml:space="preserve">§ 20-305.1(a1), (a2)</t>
  </si>
  <si>
    <t xml:space="preserve">Accuracy only: must reasonably substantiate that the submission is 'inaccurate'. Since 7/1/2025 there is no 'competitive' or market-comparison test.</t>
  </si>
  <si>
    <t xml:space="preserve">Rebut within 30 days after submission. Propose an adjusted markup/rate based on the correct rate reflected by the submission within 30 days after the audit, and no later than 60 days after submission. No unduly burdensome methods (a4).</t>
  </si>
  <si>
    <t xml:space="preserve">DMV Commissioner protest (within 30 days of proposal); manufacturer bears burden by preponderance</t>
  </si>
  <si>
    <t xml:space="preserve">a manufacturer or distributor may, not later than 30 days after submission, rebut that presumption by reasonably substantiating that the submission is inaccurate.</t>
  </si>
  <si>
    <t xml:space="preserve">§ 20-305.1(a1) (rate 'presumed to be accurate'; 'deemed approved' read from the unrebutted presumption)</t>
  </si>
  <si>
    <t xml:space="preserve">Damages and equitable/injunctive relief. Punitive damages, attorneys' fees and costs if willful, malicious or wanton, or for continued multiple violations (§ 20-308.1).</t>
  </si>
  <si>
    <t xml:space="preserve">Commissioner petition/hearing with binding decision (§§ 20-301, 20-305.1(c)). License denial, suspension, probation or revocation for willful noncompliance with the Article (§ 20-294(2)). Class 1 misdemeanor (§ 20-308). The § 20-287 civil penalty (up to $1,000) covers only §§ 20-285 to 20-303, not § 20-305.1.</t>
  </si>
  <si>
    <t xml:space="preserve">N.C. Gen. Stat. §§ 20-294, 20-301, 20-305.1(c), 20-308, 20-308.1</t>
  </si>
  <si>
    <t xml:space="preserve">N.C. Gen. Stat. § 20-305.1; N.C. Gen. Stat. § 20-301 (Commissioner petitions); N.C. Gen. Stat. §§ 20-294, 20-308, 20-308.1</t>
  </si>
  <si>
    <t xml:space="preserve">S.L. 2025-41 made several changes. It deleted 'time allowances ... shall be reasonable and adequate' and the 'competitive' proviso, added (a5) (dealer requests to modify time allowances), and changed the rebuttal standard to 'inaccurate'. It also NARROWED 'audit conducted for cause' by deleting the statistical-outlier and documentation-violation grounds. No limit on how often a rate can be declared. Motorcycles are excluded from (a), (b), (b1), (d), (e) by (f). Component-parts manufacturers are covered by (f1). RV living-facility parts are excluded from the parts-rate rule in (b).</t>
  </si>
  <si>
    <t xml:space="preserve">within 90 days from completion of the services</t>
  </si>
  <si>
    <t xml:space="preserve">30 days from receipt of disapproval to resubmit a corrected claim</t>
  </si>
  <si>
    <t xml:space="preserve">written disapproval within 30 days with a contemporaneous detailed written explanation of the reason</t>
  </si>
  <si>
    <t xml:space="preserve">A dealer shall submit a claim for reimbursement for services within ninety days from the completion of the services ... The dealer has thirty days from the receipt of the disapproval to resubmit a corrected claim.</t>
  </si>
  <si>
    <t xml:space="preserve">§ 51-07-29(2)</t>
  </si>
  <si>
    <t xml:space="preserve">Section 'does not apply to fraudulent claims'</t>
  </si>
  <si>
    <t xml:space="preserve">Chargeback only if the manufacturer proves the claim false or fraudulent, or that the dealer did not substantially comply with reasonable written procedures. Applies to all incentive/reimbursement programs subject to audit. § 51-07-29(11)(c)(3) preserves audits/chargebacks done under § 51-07-02.4.</t>
  </si>
  <si>
    <t xml:space="preserve">A manufacturer may not conduct a warranty or incentive audit or seek a chargeback on a warranty or incentive payment more than one year after the date of that warranty or incentive payment.</t>
  </si>
  <si>
    <t xml:space="preserve">§ 51-07-02.4(1)-(3)</t>
  </si>
  <si>
    <t xml:space="preserve">total labor sales ÷ total hours that generated those sales</t>
  </si>
  <si>
    <t xml:space="preserve">Discounted / promotional; Other (see text); Routine maintenance; Tires; Prep / reconditioning; Alignments; Internal; Accessories</t>
  </si>
  <si>
    <t xml:space="preserve">a. manufacturer/distributor special events, specials or promotional discounts; b. parts sold at wholesale; c. parts/labor in manufacturer-sponsored programs that restrict repair pricing; d. routine maintenance not covered under retail customer warranty (fluids, filters, belts); e. nuts/bolts/fasteners; f. tires incl. rotations/balancing, or brake replacements (drums, rotors, shoes, pads); g. reconditioning; h. alignments unless part of a mechanical repair; i. batteries other than EV/hybrid propulsion batteries; j. vehicles owned by the dealer or an employee; k. accessory installation; l. repairs to or with aftermarket parts; m. other line-makes [OTHER = wholesale, price-restricted programs, fasteners, brakes, batteries, aftermarket, other line-make]</t>
  </si>
  <si>
    <t xml:space="preserve">30 days following the manufacturer's receipt of the submission</t>
  </si>
  <si>
    <t xml:space="preserve">one hundred sequential nonwarranty customer-paid service repair orders that contain warranty-like parts or ninety consecutive days ... dividing the amount of the dealer's total labor sales by the number of total hours that generated those sales</t>
  </si>
  <si>
    <t xml:space="preserve">§ 51-07-29(4)-(6), (9)</t>
  </si>
  <si>
    <t xml:space="preserve">Material accuracy of the calculated rate only (the pre-2025 comparison to dealers in an economically similar area was deleted)</t>
  </si>
  <si>
    <t xml:space="preserve">One written objection within 30 days, with all calculations, a written explanation and substantiating evidence, plus a proposed adjusted rate based solely on that. The manufacturer must start paying the adjusted rate. It may not add to or change its reasons.</t>
  </si>
  <si>
    <t xml:space="preserve">court of competent jurisdiction (dealer action); manufacturer bears burden by preponderance</t>
  </si>
  <si>
    <t xml:space="preserve">A manufacturer or distributor may contest the material accuracy of the rate calculated under this section by providing a written objection to the dealer within thirty days after receiving the dealer's submission</t>
  </si>
  <si>
    <t xml:space="preserve">§ 51-07-29(7)(a)-(d)</t>
  </si>
  <si>
    <t xml:space="preserve">Rate-dispute action: a winning dealer gets the rate retroactive to 30 days after receipt, plus all expenses including reasonable attorney fees. Willful violation: three times the retroactive rate amount (§ 51-07-29(7)(d)(2)).</t>
  </si>
  <si>
    <t xml:space="preserve">None identified in ch. 51-07</t>
  </si>
  <si>
    <t xml:space="preserve">N.D. Cent. Code § 51-07-29(7)(d)</t>
  </si>
  <si>
    <t xml:space="preserve">N.D. Cent. Code § 51-07-29; N.D. Cent. Code § 51-07-02.4 (audits/chargebacks)</t>
  </si>
  <si>
    <t xml:space="preserve">https://www.ndlegis.gov/cencode/t51c07.pdf ; session law: https://ndlegis.gov/assembly/69-2025/session-laws/documents/SALES.pdf (ch. 463)</t>
  </si>
  <si>
    <t xml:space="preserve">Since 8/1/2025, labor is paid at the retail rate x the dealer's named retail time guide (actual time if no guide). The covered list includes extended warranty, CPO warranty, manufacturer-sponsored service contracts, maintenance programs, goodwill and PDI. Cost recovery and surcharges are barred (3). § 51-07-29 applies to component warrantors (12). Commercial truck parts/equipment dealers are handled separately in § 51-07-31.</t>
  </si>
  <si>
    <t xml:space="preserve">within 6 months after completing the work</t>
  </si>
  <si>
    <t xml:space="preserve">After a clerical-error rejection the dealer 'may resubmit a corrected claim in a timely manner'. No denial based solely on an incidental processing failure such as a clerical error.</t>
  </si>
  <si>
    <t xml:space="preserve">Must be specifically disapproved in writing within 30 days. Denial is allowed only for a nonwarranty repair, lack of documentation, failure to comply with specific substantive terms of the warranty compensation program, or a bona fide belief based on competent evidence that the claim is intentionally false, fraudulent or misrepresented ((4)).</t>
  </si>
  <si>
    <t xml:space="preserve">All claims made by a new motor vehicle dealer pursuant to this section for labor and parts shall be made within six months after completing the work and shall be paid within thirty days after their approval.</t>
  </si>
  <si>
    <t xml:space="preserve">Neb. Rev. Stat. § 60-1438(4)-(5)</t>
  </si>
  <si>
    <t xml:space="preserve">4 years after payment if the manufacturer has reasonable cause (a bona fide, evidence-based belief) that a claim is intentionally false or fraudulent</t>
  </si>
  <si>
    <t xml:space="preserve">Chargeback of an audited claim only after the dealer has had notice and an opportunity to participate in all franchisor internal appeal processes and all available legal processes. The 30-day approve-and-pay rule does not bar chargebacks for fraudulent paid claims. § 60-1441(5) bars retaliatory chargebacks over recall/stop-sale claims.</t>
  </si>
  <si>
    <t xml:space="preserve">The manufacturer has the right to audit the claims for one year after payment, except that if the manufacturer has reasonable cause to believe that a claim submitted by a dealer is intentionally false or fraudulent</t>
  </si>
  <si>
    <t xml:space="preserve">Neb. Rev. Stat. § 60-1438(5)</t>
  </si>
  <si>
    <t xml:space="preserve">No formula. The principal factor is 'the prevailing wage rates being paid by dealers in the community'. Floor: never less than the dealer's rates for like service to retail or fleet customers.</t>
  </si>
  <si>
    <t xml:space="preserve">For prevailing wage rates, labor on the portion of ROs for 'all recommended maintenance services' is excluded, including oil, filters, any fluids, brake pads, brake discs, brake drums, spark plugs, wiper blades, tire repair, or tire replacement [brakes/spark plugs/wipers = MAINT/OTHER]</t>
  </si>
  <si>
    <t xml:space="preserve">In determining prevailing wage rates, the rate of compensation for labor for that portion of repair orders for all recommended maintenance services shall not be used</t>
  </si>
  <si>
    <t xml:space="preserve">Neb. Rev. Stat. § 60-1438(2)(a); RO test (2)(c); negotiated rates (2)(d)</t>
  </si>
  <si>
    <t xml:space="preserve">The manufacturer may adjust subsequent rates if the dealer's nonwarranty customer rates are 'less than the rates currently being paid' for warranty work (test: whether declared rates are 'materially different')</t>
  </si>
  <si>
    <t xml:space="preserve">Request up to 100 additional ROs (90-day period chosen by the manufacturer within the last 12 months; ROs chosen by the dealer; at most once per 12 months), then rebut within 30 days of receiving them. A mutually agreed rate is permitted.</t>
  </si>
  <si>
    <t xml:space="preserve">Complaint to the Nebraska Motor Vehicle Industry Licensing Board (§ 60-1411.02). The express board-complaint and burden rule in (2)(b)(i) covers parts-markup denials. Court action under § 60-1440.</t>
  </si>
  <si>
    <t xml:space="preserve">The manufacturer or distributor shall have thirty days from receiving all requested additional repair orders to rebut the new vehicle dealer's labor rate, average percentage markup rate, or both.</t>
  </si>
  <si>
    <t xml:space="preserve">Neb. Rev. Stat. § 60-1438(2)(c)(i)-(iv), (2)(d)</t>
  </si>
  <si>
    <t xml:space="preserve">§ 60-1440: damages and equitable relief, including injunctive relief. A dealer that prevails against a manufacturer is awarded reasonable attorney's fees and costs. The court shall award damages for willful or wanton violations and may add costs and fees for continued multiple violations.</t>
  </si>
  <si>
    <t xml:space="preserve">§ 60-1411.02: the Board may deny, revoke or suspend a license, impose probation, or fine up to $5,000 per violation. § 60-1415: an additional fine up to $5,000 per day for disobeying a Board order or repeating a violation within 48 months.</t>
  </si>
  <si>
    <t xml:space="preserve">Neb. Rev. Stat. §§ 60-1411.02, 60-1415, 60-1440</t>
  </si>
  <si>
    <t xml:space="preserve">Neb. Rev. Stat. § 60-1438(1)-(2) (compensation; labor-rate factors; RO test); Neb. Rev. Stat. § 60-1438(4)-(5) (claims, audits, chargebacks); Neb. Rev. Stat. §§ 60-1440 (damages/equitable relief), 60-1411.02 and 60-1415 (license discipline, fines)</t>
  </si>
  <si>
    <t xml:space="preserve">Time allowances must be 'adequate for a qualified technician' (LB 667). The franchisor may not unreasonably deny a documented request to change a uniform time allowance or add time for a specific vehicle. The duties also bind separate warrantors of engines, transmissions and rear axles ((6)). The parts markup may be changed at most twice per calendar year. The statute sets no labor-rate change limit. DATE-SENSITIVE: from 10/1/2026 (LB 972) § 60-1438 no longer applies to recreational vehicles. RV warranty compensation, audits and claims then fall under §§ 60-1460 to 60-1466 of the new RV Act, which this record does not cover.</t>
  </si>
  <si>
    <t xml:space="preserve">The rejection notice must carry 'a specific statement of the grounds'. No denial based solely on an incidental processing failure, clerical error or administrative technicality.</t>
  </si>
  <si>
    <t xml:space="preserve">All such claims shall be either approved and paid or disapproved within 30 days after their receipt, and any claim not specifically disapproved in writing within such period shall be deemed approved.</t>
  </si>
  <si>
    <t xml:space="preserve">N.H. Rev. Stat. Ann. § 357-C:5, II(d)(1); II(b)(1)</t>
  </si>
  <si>
    <t xml:space="preserve">Fraudulent warranty claims may be charged back within the franchise agreement's limitation period, capped at the RSA 508:4, I period (3 years) from the date the claim was paid</t>
  </si>
  <si>
    <t xml:space="preserve">Charged back only if false or fraudulent, the repairs were improper or unnecessary, or the dealer failed to reasonably substantiate under written requirements in effect when the claim arose (II(b)(1)). The dealer may be present or represented at the audit. A Board protest filed within 30 days after the final amount (after internal procedures) stays the chargeback until a final Board order; interest applies if the chargeback is affirmed. Absent fraud, installments up to 12 months. Audits must finish within 30 days after franchise termination.</t>
  </si>
  <si>
    <t xml:space="preserve">shall retain the right to audit warranty claims for a period of 9 months after the date on which the claim is paid and charge back any amounts paid on claims that are false or unsubstantiated</t>
  </si>
  <si>
    <t xml:space="preserve">N.H. Rev. Stat. Ann. § 357-C:5, II(d)(2)-(7); II(b)(1)</t>
  </si>
  <si>
    <t xml:space="preserve">No formula. Floor: warranty pay not 'less than that charged by the dealer to the retail customers of the dealer for non-warranty work of like kind'.</t>
  </si>
  <si>
    <t xml:space="preserve">No labor exclusions. The II(b)(1)(B)(iii) list covers parts only: routine maintenance (fluids, filters, belts); items without part numbers; tires; vehicle reconditioning; supplied parts under (v); manufacturer special events and discounted service campaigns; wholesale parts or government volume-discount repairs; manufacturer promotional discounts; internal billings; goodwill or policy adjustments.</t>
  </si>
  <si>
    <t xml:space="preserve">A dealer shall not declare an average percentage markup or average labor rate more than once in a calendar year.</t>
  </si>
  <si>
    <t xml:space="preserve">N.H. Rev. Stat. Ann. § 357-C:5, II(b)(1)(B)(iv); parity II(b)(1)</t>
  </si>
  <si>
    <t xml:space="preserve">New Hampshire Motor Vehicle Industry Board written protest (general jurisdiction over violations of ch. 357-C)</t>
  </si>
  <si>
    <t xml:space="preserve">Any person may file a written protest with the board complaining of conduct governed by and violative of this chapter.</t>
  </si>
  <si>
    <t xml:space="preserve">N.H. Rev. Stat. Ann. § 357-C:12, II(a)</t>
  </si>
  <si>
    <t xml:space="preserve">§ 357-C:12, IX: civil action in superior court for actual damages plus costs, including a reasonable attorney's fee. X: attorney's fees and costs to the prevailing party after a Board finding of violation. Board protests under II. § 357-C:5, I: added attorney's fees where a manufacturer violates its warranty to the purchaser.</t>
  </si>
  <si>
    <t xml:space="preserve">§ 357-C:12, VI: civil penalty up to $10,000 for reckless or knowing noncompliance with a Board order, each day a separate violation. § 357-C:15: any violation of the chapter is a misdemeanor.</t>
  </si>
  <si>
    <t xml:space="preserve">N.H. Rev. Stat. Ann. §§ 357-C:12, 357-C:15</t>
  </si>
  <si>
    <t xml:space="preserve">N.H. Rev. Stat. Ann. § 357-C:5, II(a)-(b) (compensation; parity; rate declarations); N.H. Rev. Stat. Ann. § 357-C:5, II(b)(1), II(d) (claims; audits; chargebacks); N.H. Rev. Stat. Ann. §§ 357-C:12 (Board; civil action), 357-C:15 (misdemeanor)</t>
  </si>
  <si>
    <t xml:space="preserve">The labor rate has a parity floor and a once-per-year declaration limit, but no statutory sample, formula or manufacturer response procedure. The detailed timetable (30-day notice of rebuttal, 60-day proposal, 90-day Board protest) and the 'reasonable vs. same line-make dealers of similar size in the immediate geographic vicinity' standard are written for parts markup. The manufacturer may audit a dealer's 'effective rates' once per calendar year and cut them prospectively. That audit uses the parts method; a Board protest within 90 days stays the reduction until a final order, and an adjusted rate is frozen 6 months (II(b)(1)(B)(iv)). Scope covers warranty, maintenance plan, extended warranty, CPO or service contract issued by the manufacturer, distributor or its common entity, and any parent, subsidiary, affiliate or agent that issues a plan. Truck/equipment warranty includes transport or travel, capped at 4 hours of travel time. Whole engine, transmission, in-floor heating and rear-drive axle assemblies are paid at 30%. Motor-home household items are capped. The fraud cap cites RSA 508:4, I; the 3-year figure comes from that statute, not ch. 357-C.</t>
  </si>
  <si>
    <t xml:space="preserve">Written notice of the grounds for disapproval. No denial or chargeback 'due to an administrative or scrivener's error'. Denial or chargeback requires the franchisor to prove a lack of good-faith compliance with reasonable written procedures, work not performed, or a materially false or fraudulent claim ((p)).</t>
  </si>
  <si>
    <t xml:space="preserve">All claims for reimbursement shall be approved or disapproved within 30 days after receipt of the claim by the motor vehicle franchisor.</t>
  </si>
  <si>
    <t xml:space="preserve">N.J. Stat. Ann. § 56:10-15(f), (p)</t>
  </si>
  <si>
    <t xml:space="preserve">No time limit if the franchisor has reasonable grounds to believe the claim was fraudulent</t>
  </si>
  <si>
    <t xml:space="preserve">Paid claims may be charged back only if false or fraudulent, the labor was not properly performed, the work was unnecessary, or the claim was not reasonably substantiated under reasonable written requirements notified beforehand ((f)). Written notice is due within 30 days from the audit, detailing each chargeback's basis and how the dealer was selected. Final notice follows internal dispute resolution. An FPA action filed within 30 days of final notice stays the chargeback without bond. The franchisor bears the burden of proof, and no chargeback for administrative or scrivener's error ((p)).</t>
  </si>
  <si>
    <t xml:space="preserve">A motor vehicle franchisor shall not audit a claim after the expiration of 12 months following the payment of the claim unless the motor vehicle franchisor has reasonable grounds to believe that the claim was fraudulent</t>
  </si>
  <si>
    <t xml:space="preserve">total labor charges in the sample × 1.0 ÷ total labor hours in the sample</t>
  </si>
  <si>
    <t xml:space="preserve">Discounted / promotional; Other (see text); Routine maintenance; Prep / reconditioning; Accessories; Collision / body / glass; Insurance-paid; State inspections; Goodwill; Government; Tires; Alignments; Internal</t>
  </si>
  <si>
    <t xml:space="preserve">(j)(3): (a) manufacturer/distributor discounts or special or promotional events; (b) parts sold or repairs performed at wholesale [OTHER]; (c) routine maintenance incl. brakes, bulbs, fluids, filters, batteries, belts not provided in the course of a repair; (d) items without individual part numbers (nuts, bolts, fasteners) [OTHER]; (e) vehicle reconditioning; (f) accessories; (g) collision, road hazard, natural forces, vandalism, theft, negligent or deliberate damage; (h) parts sold or repairs for insurance carriers; (i) emission inspections required by law; (j) manufacturer-approved goodwill or policy repairs; (k) repairs for a government agency or a service contract provider employed as its agent; (l) aftermarket-parts repairs excluded for parts rate only, not labor rate; (m) repairs on aftermarket parts [OTHER]; (n) tire replacement or work, incl. wheel alignments or tire rotations; (o) vehicles owned by the franchisee or an employee.</t>
  </si>
  <si>
    <t xml:space="preserve">30 days after the declaration, subject to franchisor audit of the submitted sample only</t>
  </si>
  <si>
    <t xml:space="preserve">The average retail labor rate shall be calculated by multiplying the total labor charges in the sample by 1.0 and dividing that amount by the total number of labor hours in the sample.</t>
  </si>
  <si>
    <t xml:space="preserve">N.J. Stat. Ann. § 56:10-15(l); exclusions (j)(3); frequency (n)</t>
  </si>
  <si>
    <t xml:space="preserve">Audit-only. Any proposed adjustment 'shall be based solely on an audit of that sample'. No market-comparison or reasonableness test.</t>
  </si>
  <si>
    <t xml:space="preserve">Audit the dealer-submitted sample and propose an adjustment based only on that sample. No other data or methodology may be substituted.</t>
  </si>
  <si>
    <t xml:space="preserve">Superior Court action under the Franchise Practices Act (§ 56:10-10)</t>
  </si>
  <si>
    <t xml:space="preserve">The average retail labor rate so declared shall go into effect 30 days following the declaration subject to audit by the motor vehicle franchisor only of the sample submitted by the motor vehicle franchisee.</t>
  </si>
  <si>
    <t xml:space="preserve">N.J. Stat. Ann. § 56:10-15(a), (l)</t>
  </si>
  <si>
    <t xml:space="preserve">§ 56:10-10: Superior Court action for damages and, where appropriate, injunctive relief. A successful franchisee recovers costs, including reasonable attorney's fees. § 56:10-34 (P.L.2025, c.140): dealer associations have standing to sue on members' behalf.</t>
  </si>
  <si>
    <t xml:space="preserve">N.J. Stat. Ann. §§ 56:10-10, 56:10-34</t>
  </si>
  <si>
    <t xml:space="preserve">N.J. Stat. Ann. § 56:10-15(a), (d), (j)(3), (l)-(n) (as amended by P.L.2025, c.140, § 7); N.J. Stat. Ann. § 56:10-15(f), (p) (claims; audits; chargebacks); N.J. Stat. Ann. §§ 56:10-10 (franchisee action), 56:10-34 (association standing)</t>
  </si>
  <si>
    <t xml:space="preserve">https://pub.njleg.gov/Bills/2024/PL25/140_.PDF</t>
  </si>
  <si>
    <t xml:space="preserve">DATE-SENSITIVE: the text above took effect 4/1/2026 and applies to franchise agreements in effect on or after that date. Earlier causes of action are governed by prior law. The rate takes effect automatically at 30 days, and the statute sets no deadline for the franchisor's audit or adjustment. Optional labor-time multiplier ((m)): hours billed on 100 sequential (or 90 days of) customer-pay ROs divided by franchisor-guide hours for the same repairs, applied to the franchisor time guide. Dealers must pass labor pay through to factory-certified flat-rate technicians. Scope covers repair service 'offered and reimbursed by the motor vehicle franchisor', including warranty, extended warranty, maintenance plan, service-related plan and recall. It reaches affiliates and 1%+ owners ((g)) and franchisor-administered plans in the four (h) situations. EV propulsion batteries and whole engine and transmission assemblies are paid at 30% ((e)(2)). Franchisor cost recovery is barred ((o)). The FPA has no administrative penalty. Source is the enrolled chapter law, not official codified text.</t>
  </si>
  <si>
    <t xml:space="preserve">within one year of the date the work was performed</t>
  </si>
  <si>
    <t xml:space="preserve">No chargeback of a paid claim for an incidental failure, clerical error or technicality if the dealer corrects it within 90 days of learning of it and documents the need for the repair (§ 57-16-5.1)</t>
  </si>
  <si>
    <t xml:space="preserve">written notice of the disapproved claim setting forth the reasons</t>
  </si>
  <si>
    <t xml:space="preserve">Any claim not specifically disapproved in writing within thirty days following receipt is approved, and the manufacturer is required to pay that claim within thirty days of receipt of the claim.</t>
  </si>
  <si>
    <t xml:space="preserve">§ 57-16-7(H); filing deadline and 'paid ... within thirty days following receipt, provided that the claim has been approved' in § 57-16-7(G)</t>
  </si>
  <si>
    <t xml:space="preserve">Fraudulent claims may be audited/charged back during any period for which an action for fraud may be commenced under state law</t>
  </si>
  <si>
    <t xml:space="preserve">Only unsubstantiated, incorrect or false claims; 6 months after payment. No chargeback for incidental/clerical failures corrected within 90 days (§ 57-16-5.1). Sales/service incentive audits also limited to 6 months (§ 57-16-7.1).</t>
  </si>
  <si>
    <t xml:space="preserve">The manufacturer has the right to audit claims and to charge the dealer for any unsubstantiated, incorrect or false claims for a period of six months following payment.</t>
  </si>
  <si>
    <t xml:space="preserve">§ 57-16-7(G)</t>
  </si>
  <si>
    <t xml:space="preserve">None listed in § 57-16-7.</t>
  </si>
  <si>
    <t xml:space="preserve">Parts markup change takes effect 30 days following submission (C); statute states no effective date for the labor rate</t>
  </si>
  <si>
    <t xml:space="preserve">A dealer shall establish and declare the dealer's average customer pay labor rate by submitting to the manufacturer the lesser of one hundred sequential customer-paid service repair orders or ninety days of customer-paid service repair orders</t>
  </si>
  <si>
    <t xml:space="preserve">§ 57-16-7(D); see (C) (180-day window, 30-day effect for markup) and (F) (twice per calendar year)</t>
  </si>
  <si>
    <t xml:space="preserve">Rate was incorrectly calculated, or unreasonably exceeds the rates of all other franchised dealers in the same relevant market area offering the same or a competitive line</t>
  </si>
  <si>
    <t xml:space="preserve">Manufacturer need not honor the proposed increase if it demonstrates the standard; the dealer may then resubmit a new proposed rate. No response deadline or procedure specified.</t>
  </si>
  <si>
    <t xml:space="preserve">If a manufacturer can demonstrate that the rates under Subsection C or D of this section were incorrectly calculated by a dealer or unreasonably exceed those of all other franchised motor vehicle dealers in the same relevant market area</t>
  </si>
  <si>
    <t xml:space="preserve">§ 57-16-7(E)</t>
  </si>
  <si>
    <t xml:space="preserve">Injunctive relief (§§ 57-16-11, -12); actual damages, costs and reasonable attorney's fee, punitive damages up to 3x actual if malicious (§ 57-16-13); 4-year limitation (§ 57-16-14)</t>
  </si>
  <si>
    <t xml:space="preserve">None in Art. 16 against manufacturers (§ 57-16-16 misdemeanor applies only to dealers violating § 57-16-4)</t>
  </si>
  <si>
    <t xml:space="preserve">N.M. Stat. Ann. §§ 57-16-11 to 57-16-14, 57-16-16</t>
  </si>
  <si>
    <t xml:space="preserve">N.M. Stat. Ann. § 57-16-7 (NMSA 1978); N.M. Stat. Ann. § 57-16-5.1 (clerical-error chargebacks); N.M. Stat. Ann. §§ 57-16-11, 57-16-13 (injunction; damages)</t>
  </si>
  <si>
    <t xml:space="preserve">https://nmonesource.com/nmos/nmsa/en/4423/1/document.do (official NMOneSource NMSA 1978 Chapter 57 PDF; site 'last modified 09/24/2026'). Section page: https://nmonesource.com/nmos/nmsa/en/item/4423/index.do</t>
  </si>
  <si>
    <t xml:space="preserve">Official NMOneSource text now reachable (earlier 403) and matches the Justia mirror used before. No statutory list of exclusions from the rate sample. No manufacturer response deadline or deemed approval for the labor rate. (I) bars cost recovery by reduction or surcharge. (J) bars denying warranty/recall claims found during a separate customer repair. (K) excludes recreational travel trailers and motor-home living systems. 2026 SB 22 (manufacturer licensing) died, so there is no pending change.</t>
  </si>
  <si>
    <t xml:space="preserve">The manufacturer must accept an amended claim submitted within 60 days after notice of a disapproval based on a processing requirement, clerical error or administrative technicality</t>
  </si>
  <si>
    <t xml:space="preserve">Written notice of the grounds for disapproval. Denial only for good cause, such as nonwarranty repairs, lack of material documentation, fraud or misrepresentation. Processing noncompliance is not grounds if reasonable documentation substantiates the claim. No denial for fixing a condition found during a separate repair.</t>
  </si>
  <si>
    <t xml:space="preserve">work to satisfy warranties and recall service or repairs within 30 days after approval, or fail to approve or disapprove such claims within 30 days after receipt</t>
  </si>
  <si>
    <t xml:space="preserve">Nev. Rev. Stat. § 482.36385(4)(a)-(c); (7)</t>
  </si>
  <si>
    <t xml:space="preserve">The 9 months run from the date the claim was MADE, not the date paid. Audits must be on a reasonable basis. Denial only for good cause (nonwarranty repairs, lack of material documentation, fraud or misrepresentation). The manufacturer may not stop a dealer from appealing audit results or require the appeal to be held away from the dealer's place of business ((8)). Missing a claim deadline for reasons beyond the manufacturer's control is not a violation.</t>
  </si>
  <si>
    <t xml:space="preserve">Perform an audit to confirm a claim for compensation pursuant to NRS 482.363574, warranty repair, sales incentive or rebate more than 9 months after the date on which the claim was made.</t>
  </si>
  <si>
    <t xml:space="preserve">Nev. Rev. Stat. § 482.36385(7)-(8)</t>
  </si>
  <si>
    <t xml:space="preserve">No submission procedure or formula. Floor only: warranty and recall parts and labor pay must not be less than the amount charged to retail customers for nonwarranty parts and labor.</t>
  </si>
  <si>
    <t xml:space="preserve">None listed. The parity rule does not apply to residential (nonvehicular) components of motor homes and RVs.</t>
  </si>
  <si>
    <t xml:space="preserve">The dealers compensation for parts and labor to satisfy a warranty or a recall service or repair must not be less than the amount of money charged to its various retail customers</t>
  </si>
  <si>
    <t xml:space="preserve">§ 482.36423: injunctive relief for any aggrieved person. An injured dealer may recover three times the pecuniary loss plus costs, including a reasonable attorney's fee.</t>
  </si>
  <si>
    <t xml:space="preserve">§ 482.36425: civil penalty of $50-$1,000 per day and per act for willful violations, sued for by the Attorney General. § 482.352(1)(e): DMV may deny, suspend or revoke a manufacturer or distributor license for willful failure to comply with Nevada motor vehicle laws.</t>
  </si>
  <si>
    <t xml:space="preserve">Nev. Rev. Stat. §§ 482.36423, 482.36425, 482.352</t>
  </si>
  <si>
    <t xml:space="preserve">Nev. Rev. Stat. § 482.36385(3) (fair compensation; retail parity); Nev. Rev. Stat. § 482.36385(4), (7)-(8) (claims; audits; appeals); Nev. Rev. Stat. §§ 482.36423 (injunction; treble damages), 482.36425 (civil penalty), 482.352 (license discipline)</t>
  </si>
  <si>
    <t xml:space="preserve">Nevada has no labor-rate declaration, sample, formula or response procedure, only the retail-parity floor. 'Fair compensation includes diagnosis and reasonable administrative and clerical costs.' The statute never addresses time allowances. The official NRS text omits apostrophes ('dealers compensation'). Coverage includes delivery/prep, transportation claims, special campaigns, warranty and recall work. The 2017 amendment (AB 410) added used-vehicle recall/stop-sale compensation under § 482.363574 to the audit and appeal rules.</t>
  </si>
  <si>
    <t xml:space="preserve">No denial for an incidental failure, clerical error or administrative technicality that does not question legitimacy, if the dealer corrects the claim per franchisor guidelines (§ 465(3))</t>
  </si>
  <si>
    <t xml:space="preserve">written notice within the 30 days stating the specific grounds for disapproval</t>
  </si>
  <si>
    <t xml:space="preserve">All warranty or sales incentive claims shall be either approved or disapproved within thirty days after their receipt ... Failure to disapprove a claim within thirty days shall be deemed approval.</t>
  </si>
  <si>
    <t xml:space="preserve">§ 465(2); payment 'within thirty days following their approval' in § 465(1)</t>
  </si>
  <si>
    <t xml:space="preserve">five years in the case of fraud</t>
  </si>
  <si>
    <t xml:space="preserve">Franchisor must prove the dealer did not make a good-faith effort to comply with reasonable written procedures or did not perform the work (§ 465(5)). One undocumented part cannot void a whole multi-part repair. An in-person or phone meeting is required before chargeback, plus a written selection methodology if the dealer was picked by comparison data (§ 465(4)). Chargeback stayed if the dealer sues within 30 days of the final notice (§ 465(7)).</t>
  </si>
  <si>
    <t xml:space="preserve">No franchisor shall conduct an audit or charge back any warranty payment ... more than one year, or five years in the case of fraud, after the date the franchisor made such payment to the dealer</t>
  </si>
  <si>
    <t xml:space="preserve">§ 465(3)-(5), (7)</t>
  </si>
  <si>
    <t xml:space="preserve">Other (see text); Tires; Routine maintenance; Prep / reconditioning</t>
  </si>
  <si>
    <t xml:space="preserve">(a) parts sold at wholesale [OTHER]; (b) tires; (c) routine maintenance not covered under any retail customer warranty such as fluids, filters and belts not provided in the course of repairs; (d) vehicle reconditioning; (e) batteries replaced as part of a routine maintenance operation [MAINT]</t>
  </si>
  <si>
    <t xml:space="preserve">30 days following the declaration (presumed reasonable)</t>
  </si>
  <si>
    <t xml:space="preserve">may be established by submitting to the franchisor one hundred sequential nonwarranty customer-paid service repair orders or the number of sequential nonwarranty customer-paid service repair orders written within a ninety day period, whichever is less</t>
  </si>
  <si>
    <t xml:space="preserve">Rate is unreasonable in light of the practices of all other franchised dealers in the vicinity offering the same line make; franchisor bears burden</t>
  </si>
  <si>
    <t xml:space="preserve">No deadline to rebut the initial declaration. If rejecting for a submission error, the franchisor must identify the reason and the errors with specificity. The dealer may resubmit within 60 days and the franchisor must respond within 60 days.</t>
  </si>
  <si>
    <t xml:space="preserve">DMV Commissioner adjudicatory proceeding (§ 471-a) or court (§ 469)</t>
  </si>
  <si>
    <t xml:space="preserve">a franchisor may rebut such presumption by showing that such rate so established is unreasonable in light of the practices of all other franchised motor vehicle dealers in the vicinity offering the same line make</t>
  </si>
  <si>
    <t xml:space="preserve">Adjudicatory proceeding before the DMV Commissioner, or court action for injunctive relief and damages; court may award costs and a reasonable attorney's fee to any party (§ 469)</t>
  </si>
  <si>
    <t xml:space="preserve">Commissioner enforces via § 471-a proceedings; civil penalty up to $1,000 per day for not complying with the Commissioner's decision (§ 471-a)</t>
  </si>
  <si>
    <t xml:space="preserve">N.Y. Veh. &amp; Traf. Law §§ 469, 469-a, 471-a</t>
  </si>
  <si>
    <t xml:space="preserve">N.Y. Veh. &amp; Traf. Law § 465; N.Y. Veh. &amp; Traf. Law § 469 (private actions); N.Y. Veh. &amp; Traf. Law § 471-a (adjudicatory proceedings; penalties)</t>
  </si>
  <si>
    <t xml:space="preserve">https://www.nysenate.gov/legislation/laws/VAT/465 (official; Cloudflare blocks scripted fetch). Text read at https://newyork.public.law/laws/n.y._vehicle_and_traffic_law_section_465 (sourced from nysenate.gov, 'last modified Sep. 6, 2024', verified 9/19/2026). 2024 amendment checked against A4066-B on https://assembly.state.ny.us/leg/?bn=A04066&amp;term=2023</t>
  </si>
  <si>
    <t xml:space="preserve">The § 465(3) lookback sentence is oddly drafted. It bars audits/chargebacks beyond 1 year (5 for fraud) 'without providing a notice ... or a mechanism' giving the dealer information on the errors. Read conservatively as a 1-year/5-year window plus a notice duty. The 2024 amendment (ch. 301) added extended-warranty and factory-compensated repairs to scope and pays time per the dealer's retail labor time guide. House-coach residential components are excluded from parts reimbursement. Pending A8773/S8360 (2025-26) is not law.</t>
  </si>
  <si>
    <t xml:space="preserve">Franchisor may not disclaim a claim for failure to submit or resubmit within a period of less than 6 months from the date of service</t>
  </si>
  <si>
    <t xml:space="preserve">At least 6 months from service date to submit or resubmit ((A)(12)). No denial for an incidental failure to follow a claim processing requirement, such as a clerical error ((A)(20)(a)).</t>
  </si>
  <si>
    <t xml:space="preserve">immediate written notice stating the specific grounds for disapproval</t>
  </si>
  <si>
    <t xml:space="preserve">Fail to approve or disapprove any warranty or recall claim submitted by a franchisee within forty-five days after receipt from the franchisee ... Fail to pay a franchisee within thirty days after approval</t>
  </si>
  <si>
    <t xml:space="preserve">§ 4517.59(A)(10)-(12)</t>
  </si>
  <si>
    <t xml:space="preserve">Limits 'shall not be effective in the case of a fraudulent claim'. Chargeback of previously paid fraudulent claims is allowed.</t>
  </si>
  <si>
    <t xml:space="preserve">The window runs 12 months from the dealer's SUBMISSION, not payment. Chargeback only if the claim lacks material documentation or is false, fraudulent or a misrepresentation. No chargeback until the dealer has had notice and a chance to use all internal appeal and legal processes. Submitted claims act as an immediate automatic credit. Unreasonable denial or delay accrues interest.</t>
  </si>
  <si>
    <t xml:space="preserve">Initiate a charge back without an audit or perform an audit to confirm a warranty or recall repair ... more than twelve months after the date of submission by the franchisee</t>
  </si>
  <si>
    <t xml:space="preserve">§ 4517.59(A)(18), (A)(20)</t>
  </si>
  <si>
    <t xml:space="preserve">total labor sales from submitted ROs ÷ total labor hours that generated those sales</t>
  </si>
  <si>
    <t xml:space="preserve">Discounted / promotional; Other (see text); Routine maintenance; Prep / reconditioning; Accessories; Collision / body / glass; Insurance-paid; State inspections; Goodwill; Government; Tires</t>
  </si>
  <si>
    <t xml:space="preserve">(a) manufacturer/distributor special events, specials or promotional discounts; (b) parts sold or repairs performed at wholesale; (c) routine maintenance not covered under retail customer warranty (fluids, filters, belts); (d) items without individual part numbers; (e) reconditioning; (f) accessories; (g) collision, road hazard, elements, vandalism, theft or operator-negligence damage; (h) parts/repairs for insurance carriers; (i) legally required emission or safety inspections; (j) goodwill or policy repairs; (k) volume-discounted repairs for government agencies or insurers; (l) other line-makes; (m) tires [OTHER = wholesale, no-part-number items, other line-make]</t>
  </si>
  <si>
    <t xml:space="preserve">An uncontested rate takes effect when the 30-day contest window ends. A rate set by dispute resolution or court applies retroactively from 30 days after submission.</t>
  </si>
  <si>
    <t xml:space="preserve">submits to the franchisor either of the following ... One hundred sequential nonwarranty service repair orders for warranty-like repairs that have been paid by a customer and closed by the time of submission ... for a period of ninety consecutive days</t>
  </si>
  <si>
    <t xml:space="preserve">§ 4517.52(B)(1)-(4), (C)(4)</t>
  </si>
  <si>
    <t xml:space="preserve">Rate or markup is 'materially inaccurate'</t>
  </si>
  <si>
    <t xml:space="preserve">Within 30 days, give notice with a full explanation, substantiating evidence and a proposed adjustment. Grounds cannot be changed afterward. No unilateral rate-setting and no unduly burdensome methods (E).</t>
  </si>
  <si>
    <t xml:space="preserve">franchisor's internal dispute resolution process, appealable to court</t>
  </si>
  <si>
    <t xml:space="preserve">within thirty days after receiving notice from the franchisee ... the franchisor believes the rate or markup percentage is materially inaccurate, provide a full explanation ... provide evidence substantiating the franchisor's position, and propose an adjustment of the contested rate</t>
  </si>
  <si>
    <t xml:space="preserve">§ 4517.52(C)(1)-(3), (E)</t>
  </si>
  <si>
    <t xml:space="preserve">Double actual damages plus court costs and reasonable attorney fees (§ 4517.65(A)); statutory interest on unreasonably denied/delayed claims (§ 4517.59(A)(20))</t>
  </si>
  <si>
    <t xml:space="preserve">Violating §§ 4517.50-4517.65 is a fourth-degree misdemeanor (§ 4517.64(C)); failing to obey Motor Vehicle Dealers Board orders is prohibited (§ 4517.64(A)(1))</t>
  </si>
  <si>
    <t xml:space="preserve">Ohio Rev. Code §§ 4517.59(A)(20), 4517.64, 4517.65</t>
  </si>
  <si>
    <t xml:space="preserve">Ohio Rev. Code § 4517.52; Ohio Rev. Code § 4517.59(A)(10)-(12), (18), (20) (claims, audits, chargebacks); Ohio Rev. Code §§ 4517.64, 4517.65</t>
  </si>
  <si>
    <t xml:space="preserve">https://codes.ohio.gov/ohio-revised-code/section-4517.52 ; https://codes.ohio.gov/ohio-revised-code/section-4517.59</t>
  </si>
  <si>
    <t xml:space="preserve">The claim decision deadline is 45 days, not 30. Warranty claims have NO deemed-approval rule (only incentive claims do, under (A)(19)). The chargeback window runs from submission. RV franchisors/franchisees are exempt from 4517.52(A), (C), (D), (E) and from the diagnostic part of (B), and cannot use the (B) RO method. Time allowances must be 'reasonable and adequate' for a qualified technician ((D)(1)). Rental vehicles required or offered by the franchisor are fully reimbursed ((D)(5), added 2025).</t>
  </si>
  <si>
    <t xml:space="preserve">dealer notified in writing of the grounds for disapproval</t>
  </si>
  <si>
    <t xml:space="preserve">All claims made by dealers for compensation for delivery, preparation, warranty, or recall repair work shall be paid within thirty (30) days after approval and shall be approved or disapproved within thirty (30) days after receipt.</t>
  </si>
  <si>
    <t xml:space="preserve">§ 565(A)(9)(b)</t>
  </si>
  <si>
    <t xml:space="preserve">except in cases of suspected fraud</t>
  </si>
  <si>
    <t xml:space="preserve">Deny or charge back only if the claim was false or fraudulent, or the dealer failed to reasonably substantiate it under the factory's written reasonable procedures. Written notice with the specific audit results and amount is required. The dealer may protest to the Commission within 30 days. No chargeback or debit until the protest window passes or a final adjudication.</t>
  </si>
  <si>
    <t xml:space="preserve">Except in cases of suspected fraud, audits of warranty payments shall only be for the one-year period immediately following the date of the payment.</t>
  </si>
  <si>
    <t xml:space="preserve">total labor sales from qualified ROs ÷ total labor hours charged for those sales</t>
  </si>
  <si>
    <t xml:space="preserve">Routine maintenance; Discounted / promotional; Other (see text); Goodwill; Tires; Alignments; Internal; Prep / reconditioning</t>
  </si>
  <si>
    <t xml:space="preserve">Dealer 'need not include': (1) routine maintenance incl. bulbs, fluids, filters, batteries, belts not related to a repair; (2) factory special events, specials or promotional discounts; (3) wholesale parts/repairs; (4) factory-approved goodwill or policy repairs; (5) aftermarket parts (parts rate only); (6) repairs on aftermarket parts; (7) tires incl. front-end alignments and wheel/tire rotations; (8) vehicles owned by dealer or employee; (9) reconditioning; (10) items without individual part numbers [OTHER = wholesale, aftermarket, no-part-number items]</t>
  </si>
  <si>
    <t xml:space="preserve">30 days following approval by the manufacturer or distributor</t>
  </si>
  <si>
    <t xml:space="preserve">one hundred sequential nonwarranty consumer-paid service repair orders which contain warranty-like repairs, or ninety (90) consecutive days ... may not submit a request to establish its retail rates more than once in a twelve-month period</t>
  </si>
  <si>
    <t xml:space="preserve">Rate 'is not accurate or is incomplete'; in a protest the manufacturer must prove the rate was inaccurate or not complete</t>
  </si>
  <si>
    <t xml:space="preserve">Written rebuttal within 45 days of submission with reasons, an explanation, all calculations and a proposed adjusted markup or rate. Alternatively, request supplemental ROs; then within 30 days of receiving them, calculate a proposed adjusted rate by the statutory formula. No retaliation allowed.</t>
  </si>
  <si>
    <t xml:space="preserve">Oklahoma New Motor Vehicle Commission protest (within 30 days of the proposal); manufacturer bears burden</t>
  </si>
  <si>
    <t xml:space="preserve">not later than forty-five (45) days after submission, rebut that declared retail parts and labor rate in writing by reasonably substantiating that the rate is not accurate or is incomplete</t>
  </si>
  <si>
    <t xml:space="preserve">None identified in the enrolled § 565 text read. Other Title 47 remedy sections could not be read (OSCN blocked).</t>
  </si>
  <si>
    <t xml:space="preserve">Commission may deny, revoke or suspend a license, or fine up to $10,000 per occurrence, for violations of §§ 561-567 et al., including ¶ 9(b) (§ 565(A))</t>
  </si>
  <si>
    <t xml:space="preserve">Okla. Stat. tit. 47, § 565(A)</t>
  </si>
  <si>
    <t xml:space="preserve">Okla. Stat. tit. 47, § 565(A)(9)(b); Okla. Stat. tit. 47, § 565(A) (license denial/revocation/suspension; fines)</t>
  </si>
  <si>
    <t xml:space="preserve">https://oklegislature.gov/cf_pdf/2025-26%20ENR/hB/HB2160%20ENR.PDF (also HB2158 ENR). OSCN codified text is behind a Cloudflare Turnstile check and was not accessed.</t>
  </si>
  <si>
    <t xml:space="preserve">The 11/1/2025 acts gave manufacturers 45 days (was 30) to rebut and propose an adjustment. HB 2160 extended ¶ 9(b) to new powersports dealers. Both acts rewrote § 565 from the same 2024 base with the same substantive ¶ 9(b) text, so OSCN may carry two merged versions. Warranty claims have no deemed-approval rule. Time allowances must be 'reasonable and adequate'. Diagnostic work and OTA-related customer assistance are included. Cost-recovery surcharges are barred.</t>
  </si>
  <si>
    <t xml:space="preserve">Franchises entered or renewed on or after 1/1/2026: correct and resubmit within 30 days of disapproval ((4)(c), new). All franchises: denial or chargeback for a clerical or administrative error is barred if the claim is resubmitted within 45 days ((6)(b); (5)(b) in pre-2026 text).</t>
  </si>
  <si>
    <t xml:space="preserve">written notice of the grounds for disapproving a claim</t>
  </si>
  <si>
    <t xml:space="preserve">all claims that a dealer makes for labor or parts within 30 days after receiving the claim ... Treat as approved any claim ... did not approve or disapprove within 30 days after the manufacturer, distributor or importer received the claim</t>
  </si>
  <si>
    <t xml:space="preserve">§ 650.158(4)(a)-(e) [(4)(a)-(d) in the pre-2026 text]; deemed-approved claims must be paid within 60 days after receipt</t>
  </si>
  <si>
    <t xml:space="preserve">ONLY for franchises entered or renewed on or after 1/1/2026 ((5), added 2025): audit within 1 year after payment, and charge back only unsubstantiated, false or fraudulent claims. No reductions based on national norms/averages ((6)(d)). Pre-2026 franchises have NO statutory audit or chargeback lookback, only the clerical-error rule.</t>
  </si>
  <si>
    <t xml:space="preserve">Audit a dealer's claim under this section within one year after the date on which the manufacturer, distributor or importer paid the claim ... Charge back a dealer's claim under this section that is unsubstantiated, false or fraudulent.</t>
  </si>
  <si>
    <t xml:space="preserve">§ 650.158(5)(b)-(c) (2025 c.50; franchises entered/renewed on or after 1/1/2026)</t>
  </si>
  <si>
    <t xml:space="preserve">Discounted / promotional; Other (see text); Routine maintenance; Prep / reconditioning</t>
  </si>
  <si>
    <t xml:space="preserve">(i) manufacturer/distributor/importer specials, special events or promotional discounts; (ii) parts sold at wholesale; (iii) routine maintenance not covered by retail customer warranty (fluids, filters, belts); (iv) nuts, bolts, fasteners without individual part number; (v) vehicle reconditioning [OTHER = wholesale parts, fasteners]</t>
  </si>
  <si>
    <t xml:space="preserve">30 days after approval; a proposal not contested within 30 days is approved</t>
  </si>
  <si>
    <t xml:space="preserve">copies of 100 sequential nonwarranty service repair invoices that customers paid or 90 consecutive days' worth of nonwarranty service invoices that customers paid, whichever is less, for repairs the dealer made not more than 180 days before the dealer's submission</t>
  </si>
  <si>
    <t xml:space="preserve">§ 650.158(2)(b)(A), (D), (c), (e)</t>
  </si>
  <si>
    <t xml:space="preserve">The proposal is not accurate, or does not reasonably conform with what other same line-make dealers in contiguous market areas charge nonwarranty customers, or other relevant evidence. A market comparison needs evidence from at least 3 dealers in the contiguous area, or 3 in an economically similar market in the region.</t>
  </si>
  <si>
    <t xml:space="preserve">Contest within 30 days and propose an adjustment no later than 30 days after submission. After a verified decrease, the manufacturer may reduce compensation prospectively.</t>
  </si>
  <si>
    <t xml:space="preserve">may contest the dealer's proposal with evidence that the dealer's proposal is not accurate or on the basis that the dealer's proposal does not reasonably conform with the hourly rate or the amount for parts that other dealers charge</t>
  </si>
  <si>
    <t xml:space="preserve">§ 650.158(2)(b)(B), (c)-(d)</t>
  </si>
  <si>
    <t xml:space="preserve">Injunction; damages for actual loss of money; court may award reasonable attorney fees and costs to the prevailing party; 2-year limitation for damages (ORS 650.170)</t>
  </si>
  <si>
    <t xml:space="preserve">None in ORS 650.120-650.173</t>
  </si>
  <si>
    <t xml:space="preserve">Or. Rev. Stat. § 650.170</t>
  </si>
  <si>
    <t xml:space="preserve">Or. Rev. Stat. § 650.158; Or. Rev. Stat. § 650.170 (dealer's remedy)</t>
  </si>
  <si>
    <t xml:space="preserve">https://www.oregonlegislature.gov/bills_laws/ors/ors650.html (2025 edition); pre-2026 text: https://www.oregonlegislature.gov/bills_laws/archive/2023ors650.pdf ; enrolled HB 2127: https://olis.oregonlegislature.gov/liz/2025R1/Downloads/MeasureDocument/HB2127</t>
  </si>
  <si>
    <t xml:space="preserve">There are TWO REGIMES by franchise date. The 2025 c.50 amendments apply only to franchises entered or renewed on or after 1/1/2026. New for those franchises: (2)(b)(C), time allowances reasonable for a qualified technician, and no unreasonable denial of requests to modify or add time. Also new: (4)(c) 30-day resubmission, (5) the 1-year audit and chargeback grounds, (6)(c)-(e) limits on mileage-based denials, national-norm reductions and failure-rate repair caps, (7) markup on no-charge parts, and the dealer's once-per-year increase. Older franchises keep the 2023-edition text. Motor-home living-facility parts are excluded from parts reimbursement.</t>
  </si>
  <si>
    <t xml:space="preserve">On disapproval, the manufacturer must describe in writing the reasonable corrective action needed for payment, or the claim is deemed approved 30 days after the original disapproval</t>
  </si>
  <si>
    <t xml:space="preserve">Written or electronic description of the corrective action required. No denial or reduction if the dealer reasonably substantiated the claim under reasonable written requirements notified in advance and in effect when the claim arose.</t>
  </si>
  <si>
    <t xml:space="preserve">is not specifically disapproved in writing or by electronic transmission 30 days after receipt by the manufacturer or distributor is considered approved and payment to the dealer must follow within 30 days.</t>
  </si>
  <si>
    <t xml:space="preserve">§ 307(e)(1), (1.1) (covers warranty, recall, service contract and other required-service claims)</t>
  </si>
  <si>
    <t xml:space="preserve">With evidence of fraud, the manufacturer may audit longer and charge back fraudulent claims, subject to the 42 Pa.C.S. limitations period</t>
  </si>
  <si>
    <t xml:space="preserve">False or unsubstantiated claims only. After any internal appeal, at least 30 days' written notice before chargeback, giving the amount and basis of each claim and the total. A dealer protest to the Board within those 30 days bars the chargeback until a hearing.</t>
  </si>
  <si>
    <t xml:space="preserve">The manufacturer or distributor shall be permitted to audit claims within a nine-month period from the date the claim was paid or credit issued by the manufacturer or distributor and to charge back any false or unsubstantiated claims.</t>
  </si>
  <si>
    <t xml:space="preserve">§ 307(e)(2)-(3)</t>
  </si>
  <si>
    <t xml:space="preserve">total labor sales ÷ total labor hours that generated the sales</t>
  </si>
  <si>
    <t xml:space="preserve">Discounted / promotional; Other (see text); Routine maintenance; Tires; Prep / reconditioning</t>
  </si>
  <si>
    <t xml:space="preserve">(1) manufacturer/distributor special events, specials or promotional discounts; (2) parts sold at wholesale; (3) routine maintenance not covered under retail customer warranty (fluids, filters, belts); (4) nuts, bolts, fasteners without individual part number; (5) tires; (6) vehicle reconditioning [OTHER = wholesale parts, fasteners]</t>
  </si>
  <si>
    <t xml:space="preserve">60 days following the declaration, unless the franchisor audits the ROs and rebuts</t>
  </si>
  <si>
    <t xml:space="preserve">A declaration of the average labor rate calculated by dividing the amount of the dealer's total labor sales by the number of total labor hours that generated the sales. ... more than once in one calendar year</t>
  </si>
  <si>
    <t xml:space="preserve">§ 307(a)(3)(i)-(iii), (b.1), (b.3)(2)</t>
  </si>
  <si>
    <t xml:space="preserve">Declared rate is 'unreasonable or materially inaccurate'; at the Board, the manufacturer must also show its proposed adjustment is reasonable</t>
  </si>
  <si>
    <t xml:space="preserve">Rebut within 60 days, propose an adjusted rate no later than 60 days after submission, and give the dealer written support for the rebuttal rate. Annual audits may reduce the rate prospectively if the dealer's effective rates have decreased (b.3)(3).</t>
  </si>
  <si>
    <t xml:space="preserve">State Board of Vehicle Manufacturers, Dealers and Salespersons protest; manufacturer bears burden</t>
  </si>
  <si>
    <t xml:space="preserve">a manufacturer or distributor may, no later than 60 days after submission, rebut the presumption by substantiating that the rate is unreasonable or materially inaccurate.</t>
  </si>
  <si>
    <t xml:space="preserve">§ 307(a)(3)(ii)-(v)</t>
  </si>
  <si>
    <t xml:space="preserve">Action for damages and equitable relief, including injunctive relief (§ 329)</t>
  </si>
  <si>
    <t xml:space="preserve">Board may reprimand, suspend, revoke or refuse a license (§ 318). Board civil penalty up to $1,000 (§ 328(c)). Summary offense with a $1,000 fine (§ 328(a)).</t>
  </si>
  <si>
    <t xml:space="preserve">63 P.S. §§ 818.318, 818.328, 818.329</t>
  </si>
  <si>
    <t xml:space="preserve">Board of Vehicles Act § 307, 63 P.S. § 818.307; BOVA § 318, 63 P.S. § 818.318 (discipline); BOVA §§ 328-329, 63 P.S. §§ 818.328-818.329 (penalties; civil actions)</t>
  </si>
  <si>
    <t xml:space="preserve">https://www.legis.state.pa.us/WU01/LI/LI/US/HTM/1983/0/0084..HTM (official unconsolidated statute, current through Act 51 of 2026)</t>
  </si>
  <si>
    <t xml:space="preserve">The 9-month audit window is shorter than most states. If a dealer does not seek retail rates, the manufacturer may not recover costs through a surcharge, and the dealer may revert to the nonretail rate once a year to avoid one ((b.4)). Paid hours: only 'the time allowance' in the compensation schedule, with no reasonableness standard. § 307 does not apply to manufactured housing ((a)(4)) or RVs ((g); see § 508). It does apply to medium/heavy truck component and engine makers ((f)). Pending SB 1182 is not law.</t>
  </si>
  <si>
    <t xml:space="preserve">At least 60 days from notice of a chargeback to resubmit a claim denied for an incidental failure (clerical error or administrative technicality)</t>
  </si>
  <si>
    <t xml:space="preserve">A claim not approved or disapproved within thirty (30) days of receipt shall be deemed approved. ... Payment of, or credit issued on, a claim filed under this section shall be made within thirty (30) days of approval.</t>
  </si>
  <si>
    <t xml:space="preserve">§ 31-5.1-6(i)(2)(i)-(iii) (current text to 9/30/2026); resubmission right at (i)(3)(iii)</t>
  </si>
  <si>
    <t xml:space="preserve">does not limit charge back of any claim proven fraudulent</t>
  </si>
  <si>
    <t xml:space="preserve">Only claims the manufacturer shows are false or unsubstantiated, within 12 months of payment or credit. No chargeback for an incidental failure (clerical error or technicality) once the claim is properly resubmitted. From 10/1/2026, audits or chargebacks may not be 'unreasonable' (new (h)), and the 60-day notice must be written and identify the specific procedure violated.</t>
  </si>
  <si>
    <t xml:space="preserve">shown by the manufacturer or distributor to be false or unsubstantiated, the manufacturer or distributor may charge back the claim within twelve (12) months from the date the claim was paid or credit issued</t>
  </si>
  <si>
    <t xml:space="preserve">§ 31-5.1-6(i)(3)(i)-(iv)</t>
  </si>
  <si>
    <t xml:space="preserve">total labor sales ÷ total labor hours that generated those sales</t>
  </si>
  <si>
    <t xml:space="preserve">(1) manufacturer/distributor special events, specials or promotional discounts; (2) parts sold at wholesale; (3) engine assemblies and transmission assemblies; (4) routine maintenance not covered under retail customer warranty (fluids, filters, belts); (5) nuts, bolts, fasteners without individual part number; (6) tires; (7) vehicle reconditioning [OTHER = wholesale parts, fasteners]</t>
  </si>
  <si>
    <t xml:space="preserve">30 days following the declaration, subject to audit of the ROs and rebuttal</t>
  </si>
  <si>
    <t xml:space="preserve">submitting to the manufacturer or distributor all non-warranty customer-paid service repair orders covering repairs made during the month prior to the submission and dividing the amount of the dealer's total labor sales by the number of total labor hours</t>
  </si>
  <si>
    <t xml:space="preserve">§ 31-5.1-6(c), (d), (f); parts at (b)</t>
  </si>
  <si>
    <t xml:space="preserve">Rate is unfair and unreasonable in light of the practices of all other franchised dealers in the vicinity offering the same line-make. From 10/1/2026 the PARTS standard compares 'advertised retail rates' for warranty-like repairs in the 'relevant market area'; the labor standard is unchanged.</t>
  </si>
  <si>
    <t xml:space="preserve">Rebut within 30 days of submission and propose an adjusted rate within 30 days of submission</t>
  </si>
  <si>
    <t xml:space="preserve">Department (of Revenue, per § 31-5.1-3(c)): dealer protest within 30 days of the proposal; manufacturer bears burden</t>
  </si>
  <si>
    <t xml:space="preserve">may, not later than thirty (30) days after submission, rebut the presumption by reasonably substantiating that the rate is unfair and unreasonable in light of the practices of all other franchised motor vehicle dealers in the vicinity</t>
  </si>
  <si>
    <t xml:space="preserve">§ 31-5.1-6(c)</t>
  </si>
  <si>
    <t xml:space="preserve">Superior court civil action: injunction, actual damages, costs and reasonable attorney's fee (§ 31-5.1-13)</t>
  </si>
  <si>
    <t xml:space="preserve">Department show-cause hearing; license revocation or suspension on a finding of noncompliance (§ 31-5.1-12)</t>
  </si>
  <si>
    <t xml:space="preserve">R.I. Gen. Laws §§ 31-5.1-12, 31-5.1-13</t>
  </si>
  <si>
    <t xml:space="preserve">R.I. Gen. Laws § 31-5.1-6; R.I. Gen. Laws § 31-5.1-12 (enforcement; license); R.I. Gen. Laws § 31-5.1-13 (civil remedies)</t>
  </si>
  <si>
    <t xml:space="preserve">https://webserver.rilegislature.gov/Statutes/TITLE31/31-5.1/31-5.1-6.htm (current codified text). 10/1/2026 changes: https://webserver.rilegislature.gov/BillText/BillText26/SenateText26/S2347A.pdf and P.L. 2026 ch. 180: https://webserver.rilegislature.gov/PublicLaws/law26/law26180.htm</t>
  </si>
  <si>
    <t xml:space="preserve">Fields show the rules in force through 9/30/2026. FROM 10/1/2026 (P.L. 2026 ch. 179/180, identical text; enacted text checked against law26180): (a) dealers get at least 90 days to submit claims, and retail-rate reimbursement extends to CPO warranty or recall issued by the manufacturer, distributor, factory branch, common entity or agent. (c) warranty labor = non-warranty labor rate x the technician's actual time, shown by time punch including diagnostic and OEM tech-assist time, with a dealer attestation. (h) no unreasonable audits or chargebacks, and technicians must meet reasonable qualifications; either party may appeal to the Department. (i)(4) written denial with a detailed explanation 'within forty-five (45) days', 45 days to resubmit, OEM bears the burden on time-based denials, and the OEM may protest a corrected claim to the Department within 30 days. CONFLICT: (i)(2) still says approve/disapprove in 30 days or deemed approved, while (i)(4) allows written denial within 45 days. Unreconciled; treat 30 days as the safe deadline. Claims under § 31-5.1-6.1 (recall) follow the same (i) rules from 10/1.</t>
  </si>
  <si>
    <t xml:space="preserve">Must be specifically disapproved in writing. May not be disapproved if the dealer can substantiate it under reasonable policies. No denial or chargeback for an unintentional administrative error.</t>
  </si>
  <si>
    <t xml:space="preserve">shall be paid within thirty days following approval ... Any claim not specifically disapproved in writing within thirty days after receipt shall be construed to be approved</t>
  </si>
  <si>
    <t xml:space="preserve">§ 56-15-60(F)(1)-(2)</t>
  </si>
  <si>
    <t xml:space="preserve">The one-year audit limit and the once-per-12-months audit limit do not apply to fraudulent claims</t>
  </si>
  <si>
    <t xml:space="preserve">Chargeback only for fraudulent claims, unnecessary work, or work not properly performed. Warranty audits once per 12 months, covering only the 12 months after payment. No denial or chargeback for an unintentional administrative error.</t>
  </si>
  <si>
    <t xml:space="preserve">the manufacturer may audit claims for up to one year after payment and charge the dealer for fraudulent claims, work done unnecessarily, or work not properly performed.</t>
  </si>
  <si>
    <t xml:space="preserve">§ 56-15-60(F)(1)-(2), (G)(1), (G)(3)</t>
  </si>
  <si>
    <t xml:space="preserve">retail sales attributable to labor for warranty-like services ÷ hours of labor spent to generate those sales</t>
  </si>
  <si>
    <t xml:space="preserve">Internal; Discounted / promotional; Other (see text); Government; Insurance-paid; Tires; Routine maintenance; Alignments</t>
  </si>
  <si>
    <t xml:space="preserve">(i) dealer-owned vehicles; (ii) manufacturer special events and manufacturer discounted service campaigns; (iii) parts sold at wholesale or discounted for government vehicles or insurance work with negotiated volume discounts; (iv) tires; (v) routine maintenance such as alignments, flushes, oil changes, brake pads or rotors, lightbulbs, fluids, filters, batteries, belts and hoses; (vi) nuts, bolts, fasteners [OTHER = wholesale parts, brakes, bulbs, batteries, fasteners]</t>
  </si>
  <si>
    <t xml:space="preserve">30 days after the manufacturer's or distributor's approval</t>
  </si>
  <si>
    <t xml:space="preserve">copies of one hundred sequential retail service orders paid by the dealer's customers, or all of the dealer's retail service orders paid by the dealer's customers in a ninety-day period, whichever is less ... more than once in any twelve-month period</t>
  </si>
  <si>
    <t xml:space="preserve">§ 56-15-60(C)(3)-(4)</t>
  </si>
  <si>
    <t xml:space="preserve">In a protest, the manufacturer must prove the submission did not meet the statutory requirements or is inaccurate or unreasonable</t>
  </si>
  <si>
    <t xml:space="preserve">Within 30 days of the submission, may request additional necessary documentation, which extends its approval period by 30 days; then approve or deny. The base approval period is not stated. No unduly burdensome methodology.</t>
  </si>
  <si>
    <t xml:space="preserve">Court of common pleas protest within 30 days of the denial; manufacturer bears burden; retroactive relief if the dealer prevails</t>
  </si>
  <si>
    <t xml:space="preserve">the manufacturer possesses the burden of proof to establish that the dealer's submission did not meet the respective submission requirements contained within this subsection or is inaccurate or unreasonable</t>
  </si>
  <si>
    <t xml:space="preserve">§ 56-15-60(C)(4)(b)-(c), (D)(3)</t>
  </si>
  <si>
    <t xml:space="preserve">Double actual damages, cost of suit and reasonable attorney's fee. Punitive damages up to 3x actual if malicious. Injunctive relief. 4-year limitations period.</t>
  </si>
  <si>
    <t xml:space="preserve">None specific to manufacturers identified in Chapter 15, Article 1</t>
  </si>
  <si>
    <t xml:space="preserve">S.C. Code Ann. §§ 56-15-110, 56-15-120</t>
  </si>
  <si>
    <t xml:space="preserve">S.C. Code Ann. § 56-15-60; S.C. Code Ann. §§ 56-15-110, 56-15-120 (damages; limitations)</t>
  </si>
  <si>
    <t xml:space="preserve">The retail rate is opt-in: it applies only after the dealer requests retail reimbursement under (C)(4). The statute sets no deadline for the manufacturer to approve or deny a rate submission and has no deemed approval. It says nothing on time allowances ((C)(3) 'hours of labor spent' is only the rate divisor). Cost recovery or surcharges are barred ((A)). Used-vehicle stop-sale compensation claims follow the same claim rules ((I)(5)).</t>
  </si>
  <si>
    <t xml:space="preserve">Claims rejected for technical reasons may be put into proper form; a claim resubmitted 'within thirty days after the receipt of the claim' is considered approved and must be paid within 30 days.</t>
  </si>
  <si>
    <t xml:space="preserve">Written notice of disapproval within the 30-day period (no statement of reasons required by text).</t>
  </si>
  <si>
    <t xml:space="preserve">shall pay all claims made by a vehicle dealer for the labor and parts within thirty days following their approval. The franchisor, component manufacturer, or manufacturer shall either approve or disapprove the claim within thirty days after its receipt.</t>
  </si>
  <si>
    <t xml:space="preserve">2 years from actual or constructive notice of the facts constituting the alleged fraud</t>
  </si>
  <si>
    <t xml:space="preserve">Chargeback only of 'unsubstantiated' claims (§ 58); no chargeback of a paid/approved claim if repair was covered, corrected the defect, was documented, and followed reasonable written requirements known before the claim (§ 58.2); chargeback allowed only if false/fraudulent or repairs unnecessary under accepted workmanship standards (§ 58.3).</t>
  </si>
  <si>
    <t xml:space="preserve">has the right to audit any vehicle dealer claim for a period of one year after the claim is paid to the dealer and to charge back to the new vehicle dealer the amount of any unsubstantiated claim.</t>
  </si>
  <si>
    <t xml:space="preserve">§ 32-6B-58; see §§ 32-6B-58.2, -58.3</t>
  </si>
  <si>
    <t xml:space="preserve">None listed.</t>
  </si>
  <si>
    <t xml:space="preserve">shall rely on the vehicle dealer's written schedule of hourly labor rates and parts and may not obligate any vehicle dealer to engage in unduly burdensome documentation thereof</t>
  </si>
  <si>
    <t xml:space="preserve">Dealer injured by a violation of §§ 32-6B-45 to -83 may sue to enjoin (no need to prove irreparable injury) and recover actual damages, costs, disbursements and reasonable attorney fees, notwithstanding any agreement or waiver.</t>
  </si>
  <si>
    <t xml:space="preserve">Department of Revenue may seek a temporary/permanent injunction in circuit court, without bond (§ 32-6B-59). The chapter has no manufacturer license sanction or civil fine for warranty violations.</t>
  </si>
  <si>
    <t xml:space="preserve">S.D. Codified Laws §§ 32-6B-85, 32-6B-59</t>
  </si>
  <si>
    <t xml:space="preserve">S.D. Codified Laws § 32-6B-61 (rate/compensation); S.D. Codified Laws § 32-6B-58 (claims, audit); S.D. Codified Laws §§ 32-6B-58.2, -58.3 (chargeback limits); S.D. Codified Laws § 32-6B-85 (civil action); S.D. Codified Laws § 32-6B-59 (department injunction)</t>
  </si>
  <si>
    <t xml:space="preserve">https://sdlegislature.gov/Statutes/32-6B-61 (full chapter via https://sdlegislature.gov/api/Statutes/32-6B.html?all=true)</t>
  </si>
  <si>
    <t xml:space="preserve">No 'deemed approved' rule for a late original decision: § 58 requires a decision in 30 days, but the only deemed-approval language covers a claim 'resubmitted ... within thirty days after the receipt of the claim' (ambiguous drafting). Same claim/audit terms apply to component manufacturers and to separately warranted engines/transmissions/rear axles on commercial medium/heavy-duty vehicles at any authorized repair facility (§ 32-6B-58.1). Incentive audits limited to 1 year (§ 32-6B-69.1). Time allowances must be 'adequate' (not 'reasonable and adequate'). Parts floor = current retail rate.</t>
  </si>
  <si>
    <t xml:space="preserve">None for labor. Parts-markup sample only: 'routine maintenance such as tire service or oil service'.</t>
  </si>
  <si>
    <t xml:space="preserve">§ 55-17-121(b); see (a), (c), (d)(2)(C)</t>
  </si>
  <si>
    <t xml:space="preserve">Manufacturer must show the Commission the dealer's retail labor rate is 'improper in light of all economic circumstances'.</t>
  </si>
  <si>
    <t xml:space="preserve">Showing before the Motor Vehicle Commission (no timeline stated). (Parts markup only: 30-day approve/deny, appeal to Commission, manufacturer bears burden.)</t>
  </si>
  <si>
    <t xml:space="preserve">Tennessee Motor Vehicle Commission</t>
  </si>
  <si>
    <t xml:space="preserve">unless the manufacturer or distributor can show to the commission that the dealer's retail labor rate is improper in light of all economic circumstances.</t>
  </si>
  <si>
    <t xml:space="preserve">None express for warranty pay in Part 1; parts-markup denial may be appealed to the Commission (§ 55-17-121(d)(2)(C)(ii)).</t>
  </si>
  <si>
    <t xml:space="preserve">Civil penalty $100-$5,000 per day or per act of violation (§ 55-17-117(a)); Commission may deny/suspend/revoke a manufacturer's license for unfair discrimination among franchisees in warranty reimbursement (§ 55-17-114(c)(18)); AG injunction suit (§ 55-17-117(b),(d)); willful, knowing and persistent violation is a Class C misdemeanor (§ 55-17-117(e)).</t>
  </si>
  <si>
    <t xml:space="preserve">Tenn. Code Ann. §§ 55-17-114(c)(18), 55-17-117</t>
  </si>
  <si>
    <t xml:space="preserve">Tenn. Code Ann. § 55-17-121; Tenn. Code Ann. § 55-17-114(c)(18) (license ground); Tenn. Code Ann. § 55-17-117 (civil penalty, injunction)</t>
  </si>
  <si>
    <t xml:space="preserve">https://law.justia.com/codes/tennessee/2025/title-55/chapter-17/part-1/section-55-17-121/ (mirror; official T.C.A. is LexisNexis-only)</t>
  </si>
  <si>
    <t xml:space="preserve">Official code is Lexis-only; text read from Justia 2025 mirror (history line confirms no amendment after 2021). No statutory claim-processing deadlines, deemed approval, audit window or chargeback limits in Title 55, ch. 17, part 1 (checked §§ 55-17-114, -117, -121 and part TOC); § 55-17-114(c)(12)'s 'reasonable time' payment rule covers prior-model-year inventory payments, not warranty. TN MVC rules (Ch. 0960-01) not checked (site returned 403). No time-allowance standard.</t>
  </si>
  <si>
    <t xml:space="preserve">Written notice of the reasons for disapproval.</t>
  </si>
  <si>
    <t xml:space="preserve">A claim that is not disapproved before the 31st day after the date of receipt is considered approved.</t>
  </si>
  <si>
    <t xml:space="preserve">§ 2301.404(b); payment within 30 days of approval § 2301.404(a); reasons § 2301.404(c)</t>
  </si>
  <si>
    <t xml:space="preserve">No time limit if manufacturer has reasonable grounds to suspect fraud</t>
  </si>
  <si>
    <t xml:space="preserve">Audit window runs from claim SUBMISSION (not payment). Chargeback only if manufacturer shows claim false/fraudulent, repair not properly performed or unnecessary, or dealer failed to substantiate per requirements enforceable under § 2301.401 when filed. Manufacturer may not require actual-time statements unless actual time is the pay basis (§ 2301.406).</t>
  </si>
  <si>
    <t xml:space="preserve">A manufacturer or distributor may not audit a claim filed under this subchapter after the first anniversary of the date the claim is submitted unless the manufacturer or distributor has reasonable grounds to suspect that the claim was fraudulent.</t>
  </si>
  <si>
    <t xml:space="preserve">§ 2301.405(b); grounds § 2301.405(a)</t>
  </si>
  <si>
    <t xml:space="preserve">Average labor rate charged on nonwarranty repairs, exclusive of routine maintenance (averaging method not defined)</t>
  </si>
  <si>
    <t xml:space="preserve">'exclusive of routine maintenance'</t>
  </si>
  <si>
    <t xml:space="preserve">Not stated for approvals; if Board rules for dealer, requested rate effective as of the 60th day after manufacturer received the request</t>
  </si>
  <si>
    <t xml:space="preserve">the manufacturer or distributor shall use the greater of: (1) the average labor rate charged during the preceding six months by the dealer on 100 sequential nonwarranty repair orders, exclusive of routine maintenance</t>
  </si>
  <si>
    <t xml:space="preserve">§ 2301.402(c); frequency § 2301.403(f); request § 2301.403(a)</t>
  </si>
  <si>
    <t xml:space="preserve">On protest, Board may uphold disapproval or non-response only if manufacturer proves by a preponderance that it was reasonable; otherwise Board orders the requested rate.</t>
  </si>
  <si>
    <t xml:space="preserve">Written notice of approval/disapproval within 60 days; disapproval must state reasons.</t>
  </si>
  <si>
    <t xml:space="preserve">Protest to the Board of the Texas Department of Motor Vehicles (§ 2301.403(c)-(e))</t>
  </si>
  <si>
    <t xml:space="preserve">Not later than the 60th day after the date of receipt of a request under this section, the manufacturer or distributor shall provide written notice to the requesting dealer of the approval or disapproval of the request.</t>
  </si>
  <si>
    <t xml:space="preserve">§ 2301.403(b); protest and burden § 2301.403(c)-(e)</t>
  </si>
  <si>
    <t xml:space="preserve">Rate protest to the Board (§ 2301.403). DTPA-based damages action under § 2301.805 covers violations of Subchapter J and §§ 2301.351-.354/.357, not expressly Subchapter I (warranty).</t>
  </si>
  <si>
    <t xml:space="preserve">Board civil penalty up to $10,000 per violation, each day a separate violation (§ 2301.801); license denial, revocation, suspension, probation or reprimand for violating the chapter (§ 2301.651(a)(3)); cease-and-desist orders (§ 2301.802); suit for injunction/civil penalty (§ 2301.804).</t>
  </si>
  <si>
    <t xml:space="preserve">Tex. Occ. Code §§ 2301.403, 2301.651, 2301.801, 2301.802, 2301.804, 2301.805</t>
  </si>
  <si>
    <t xml:space="preserve">Tex. Occ. Code § 2301.402 (rate); § 2301.403 (adjustment/protest); § 2301.404 (time for payment); § 2301.405 (chargeback/audit); §§ 2301.651, 2301.801-.805 (sanctions)</t>
  </si>
  <si>
    <t xml:space="preserve">https://statutes.capitol.texas.gov/Docs/OC/htm/OC.2301.htm (read via Legislature file server https://tcss.legis.texas.gov/resources/OC/htm/OC.2301.htm)</t>
  </si>
  <si>
    <t xml:space="preserve">The 'greater of' test favors the dealer. No time-allowance standard; § 2301.401(b) makes manufacturer warranty requirements unenforceable unless reasonable. Claim/payment rules also cover preparation-and-delivery claims.</t>
  </si>
  <si>
    <t xml:space="preserve">Must be 'specifically disapproved' in writing; denial allowed only if nonwarranty/nonrecall repair, lack of material documentation, material noncompliance with specific substantive program terms, or bona fide belief on competent evidence of intentional falsity/fraud ((8)).</t>
  </si>
  <si>
    <t xml:space="preserve">Any claim not specifically disapproved of in writing within 30 days after the receipt of the form is considered to be approved and payment shall be made within 30 days.</t>
  </si>
  <si>
    <t xml:space="preserve">§ 13-14-204(6)(a)-(b); denial grounds (8)</t>
  </si>
  <si>
    <t xml:space="preserve">Time limits do not preclude chargebacks for any fraudulent claim previously paid</t>
  </si>
  <si>
    <t xml:space="preserve">Written/automated notice of amount and reason; dealer has 30 days to explain/cure; no chargeback for nonmaterial clerical errors; must rest on specific instances of material noncompliance; no extrapolation from samples ((9)(c)-(d)). Audits 'on a reasonable basis' ((7)); no requests for franchisor-originated documents ((12)). Before taking control of dealer funds, 20-day protest right, mediation within 30 days, then binding arbitration within 90 days, costs split (fraud excepted) (§ 13-14-201(1)(gg)).</t>
  </si>
  <si>
    <t xml:space="preserve">Any charge back for a warranty part or service compensation, recall repair compensation, or service incentive is only enforceable for the six-month period immediately following the day on which the franchisor makes the payment</t>
  </si>
  <si>
    <t xml:space="preserve">§ 13-14-204(9)(a), (c)-(e); § 13-14-201(1)(gg)</t>
  </si>
  <si>
    <t xml:space="preserve">Total labor charges in the submitted qualified repairs / total hours in those qualified repairs</t>
  </si>
  <si>
    <t xml:space="preserve">Routine maintenance; Tires; Alignments; Government; Insurance-paid; Service-contract paid; Discounted / promotional; Internal; Accessories; State inspections; Prep / reconditioning; Goodwill; Warranty / recall; Other (see text)</t>
  </si>
  <si>
    <t xml:space="preserve">(A) routine maintenance incl. fluids, filters, non-EV batteries, bulbs, belts, brake pads, rotors, nuts, bolts, fasteners; (B) tires, wheels, alignments, tire/wheel rotations; (C) repairs for a government agency, an insurer, or an extended warranty or service contract provider; (D) franchisor special event, promotion, service campaign or franchisor discount; (E) vehicles owned by franchisee or employee; (F) accessory installation; (G) required safety/emission inspection; (H) reconditioning; (I) parts sold at wholesale [OTHER]; (J) aftermarket parts [OTHER]; (K) franchisor-approved goodwill/policy; (L) other line-makes [OTHER]. 'Qualified repair' also excludes warranty work.</t>
  </si>
  <si>
    <t xml:space="preserve">30 days after submission unless franchisor timely objects or requests supplemental ROs; adjusted rate effective on later of 30 days after submission or after supplemental ROs; payment must start within 15 days of effective date</t>
  </si>
  <si>
    <t xml:space="preserve">whichever of the following produces the fewer number of repair orders, all of which must be for repairs made no more than 180 days before such submission</t>
  </si>
  <si>
    <t xml:space="preserve">§ 13-14-204(3)(c)-(h); exclusions (3)(a)(ii)</t>
  </si>
  <si>
    <t xml:space="preserve">Written objection to the 'material accuracy' of the rate; or, if submission is 'substantially higher' than current warranty rate, request supplemental ROs (30 days before/after) and propose an adjusted rate using the same rules, formula and exclusions.</t>
  </si>
  <si>
    <t xml:space="preserve">Within 30 days: written objection or written request for all ROs from the 30 days before/after (clocks suspended until supplied); then within 30 days of supplemental ROs, propose adjusted rate from any set of the dealer's qualified ROs.</t>
  </si>
  <si>
    <t xml:space="preserve">Not specified in § 204; request for agency action before the Department of Commerce executive director (§ 13-14-107) or private action (§ 13-14-308)</t>
  </si>
  <si>
    <t xml:space="preserve">unless, within 30 days after receiving the franchisee's submission, the franchisor delivers to the franchisee: (A) a written objection to the material accuracy of the retail labor rate or retail parts markup</t>
  </si>
  <si>
    <t xml:space="preserve">§ 13-14-204(3)(e)</t>
  </si>
  <si>
    <t xml:space="preserve">Franchisee private right of action for actual damages and reasonable attorney fees (§ 13-14-308(1)); adjudicative proceeding by request for agency action, with costs incl. reasonable attorney fees apportioned (§ 13-14-107).</t>
  </si>
  <si>
    <t xml:space="preserve">Executive director may issue cease-and-desist order and administrative fine after hearing (§ 13-14-106(1)); department may sue to enforce order and seek up to $5,000 per day of violation of an order (§ 13-14-106(2)(b)).</t>
  </si>
  <si>
    <t xml:space="preserve">Utah Code §§ 13-14-106, 13-14-107, 13-14-308</t>
  </si>
  <si>
    <t xml:space="preserve">Utah Code § 13-14-204; Utah Code § 13-14-201(1)(gg), (jj) (audit protest/mediation; cost recovery); Utah Code §§ 13-14-106, -107, -308 (enforcement/remedies)</t>
  </si>
  <si>
    <t xml:space="preserve">https://le.utah.gov/xcode/Title13/Chapter14/13-14-S204.html (version C13-14-S204_2023050320230503, effective 5/3/2023)</t>
  </si>
  <si>
    <t xml:space="preserve">Rate challenge is limited to material accuracy (no general reasonableness test). RV franchisee parts floor = cost + 20% ((3)(b)(ii)). Time allowances set by franchisor must be 'reasonable and adequate' ((2)(b)). § 13-14-201(1)(jj) bars surcharges to recover warranty costs. Chapter does not apply to licensed direct-sale manufacturers (§ 13-14-108).</t>
  </si>
  <si>
    <t xml:space="preserve">Rejected in writing for stated reasons; denial only for good cause (e.g., nonwarranty repair, lack of material documentation, fraud, misrepresentation); failure to meet claim-processing requirements is not grounds if reasonable documentation substantiates the claim.</t>
  </si>
  <si>
    <t xml:space="preserve">Claims for dealer compensation shall be paid within 30 days of dealer submission or within 30 days of the end of an incentive program or rejected in writing for stated reasons.</t>
  </si>
  <si>
    <t xml:space="preserve">§ 46.2-1571(A) (unnumbered paragraph after A.6)</t>
  </si>
  <si>
    <t xml:space="preserve">Limits do not apply if manufacturer has 'reasonable cause' (bona fide, evidence-based belief) that a claim is intentionally false or fraudulent</t>
  </si>
  <si>
    <t xml:space="preserve">Window runs from the date of the claim (rental-reimbursement claims: 6 months from payment of the related repair claim). No collection until 40 days after final notice following internal processes; dealer may petition the Commissioner within 30 days, and a petition stays collection until the Commissioner's final decision ((F)).</t>
  </si>
  <si>
    <t xml:space="preserve">Any chargebacks for recall or warranty parts or service compensation and service incentives shall only be for the six-month period immediately following the date of the claim</t>
  </si>
  <si>
    <t xml:space="preserve">§ 46.2-1571(A) (paragraph after A.6); collection stay § 46.2-1571(F)</t>
  </si>
  <si>
    <t xml:space="preserve">Discounted / promotional; Internal; Insurance-paid</t>
  </si>
  <si>
    <t xml:space="preserve">'retail' does not include menu-priced parts or services, services and parts used in internal repairs paid by the dealer, group discounts, special event discounts, special event promotions, and insurance-paid repairs; non-retail portions of mixed ROs excluded.</t>
  </si>
  <si>
    <t xml:space="preserve">shall be requested by the dealer in writing, shall be based on 100 consecutive repair orders or all repair orders over a 90-day period, whichever occurs first.</t>
  </si>
  <si>
    <t xml:space="preserve">§ 46.2-1571(A)(3); retail definition (A)(2)</t>
  </si>
  <si>
    <t xml:space="preserve">Commissioner of the Department of Motor Vehicles hearing (petition within 30 days after written notice of dispute); manufacturer bears burden of proof in dealer-initiated hearings (§ 46.2-1573(A))</t>
  </si>
  <si>
    <t xml:space="preserve">either party may petition the Commissioner in writing, within 30 days after either party has given written notice of the dispute to the other, for a hearing.</t>
  </si>
  <si>
    <t xml:space="preserve">§ 46.2-1571(F); § 46.2-1573(A)</t>
  </si>
  <si>
    <t xml:space="preserve">Commissioner hearing with manufacturer burden (§§ 46.2-1571(F), 46.2-1573(A)); circuit court award of reasonable attorney's fees and costs after a Commissioner finding of violation (§ 46.2-1573.01).</t>
  </si>
  <si>
    <t xml:space="preserve">Civil penalty up to $1,000 per day of noncompliance with a Commissioner decision (§ 46.2-1573(E)); Board civil penalty up to $1,000 per violation of the chapter (§ 46.2-1507).</t>
  </si>
  <si>
    <t xml:space="preserve">Va. Code Ann. §§ 46.2-1571(F), 46.2-1573, 46.2-1573.01, 46.2-1507</t>
  </si>
  <si>
    <t xml:space="preserve">Va. Code Ann. § 46.2-1571(A), (B)(5), (F); Va. Code Ann. § 46.2-1573 (hearings, civil penalties); Va. Code Ann. § 46.2-1573.01 (attorney fees); Va. Code Ann. § 46.2-1507 (civil penalty)</t>
  </si>
  <si>
    <t xml:space="preserve">2025 ch. 558 (and ch. 546) struck the clause deeming dealer-rate compensation 'reasonable due to the substantial number of repair orders reviewed, unless the manufacturer can show that the amounts are not reasonable' (strike-through confirmed in enrolled PDF), so the statute now states no rate-challenge standard. 2025 also added: diagnostic time includes technician time communicating with manufacturer technical assistance; rental-reimbursement claims in 30-day increments with 6-month audit; recall-part pricing at highest price in prior 12 months; recall parts returnable within 12 months. No rate-submission response deadline or frequency limit. No compensation rule for residential-use RV components.</t>
  </si>
  <si>
    <t xml:space="preserve">Must be 'specifically disapproved in writing' within 45 days of receipt.</t>
  </si>
  <si>
    <t xml:space="preserve">any claim not specifically disapproved in writing within 45 days after the receipt shall be construed to be approved and payment must follow within 45 days.</t>
  </si>
  <si>
    <t xml:space="preserve">§ 4086(e)</t>
  </si>
  <si>
    <t xml:space="preserve">Fraudulent claims: 2 years following payment ((e))</t>
  </si>
  <si>
    <t xml:space="preserve">Paid claims charged back only if false/fraudulent, repairs improper or unnecessary, or dealer failed to reasonably substantiate per reasonable written procedures or other reasonable means ((e)). If dealer protests to the Transportation Board within 30 days of final notice (after internal appeals, other than arbitration), no chargeback until Board's final order; manufacturer bears burden ((h)). Incentive/reimbursement program audits: 18 months or 1 year after program end, whichever later ((g)).</t>
  </si>
  <si>
    <t xml:space="preserve">A manufacturer shall retain the right to audit warranty claims for a period of one year after the date on which the claim is paid.</t>
  </si>
  <si>
    <t xml:space="preserve">§ 4086(f); see (e), (g), (h)</t>
  </si>
  <si>
    <t xml:space="preserve">None for labor. Parts-markup sample only excludes warranty repairs, state inspection, routine maintenance such as oil and oil filter changes, and accessories.</t>
  </si>
  <si>
    <t xml:space="preserve">§ 4086(c) (last sentence); floor and presumption § 4086(b)</t>
  </si>
  <si>
    <t xml:space="preserve">Rebut presumption by showing the dealer's amount is unfair and unreasonable in light of the practices of at least four other franchised dealers in the vicinity offering the same or a similar competitive line-make.</t>
  </si>
  <si>
    <t xml:space="preserve">Rebuttal showing (no procedure or deadline stated); cost recovery by reduction, surcharge or other imposition is barred.</t>
  </si>
  <si>
    <t xml:space="preserve">Vermont Transportation Board protest (§ 4100b) or Superior Court (§ 4099)</t>
  </si>
  <si>
    <t xml:space="preserve">a manufacturer may rebut such a presumption by showing that such amount so established is unfair and unreasonable in light of the practices of at least four other franchised motor vehicle dealers in the vicinity</t>
  </si>
  <si>
    <t xml:space="preserve">§ 4086(b)</t>
  </si>
  <si>
    <t xml:space="preserve">Civil action to enjoin and recover actual damages plus costs incl. reasonable attorney's fee (§ 4099), stayed if a party files with the Board within 60 days; Board protest with attorney's fees and costs to prevailing party (§ 4100b(i)); 4-year limitations period (§ 4100d).</t>
  </si>
  <si>
    <t xml:space="preserve">Transportation Board decisions and orders (§ 4100b(c)); civil penalty up to $2,500 per day for reckless/knowing noncompliance with a Board order (§ 4100b(g)).</t>
  </si>
  <si>
    <t xml:space="preserve">9 V.S.A. §§ 4099, 4100b, 4100d; § 4097(9)</t>
  </si>
  <si>
    <t xml:space="preserve">Vt. Stat. Ann. tit. 9, § 4086; 9 V.S.A. § 4097(9) (warranty-reimbursement discrimination); 9 V.S.A. §§ 4099, 4100b (remedies/Board)</t>
  </si>
  <si>
    <t xml:space="preserve">https://legislature.vermont.gov/statutes/section/09/108/04086 (full chapter https://legislature.vermont.gov/statutes/fullchapter/09/108)</t>
  </si>
  <si>
    <t xml:space="preserve">45-day claim clocks (longer than the usual 30). (e) says fraudulent claims can be charged back for 2 years after payment, while (f) sets a 1-year audit period for warranty claims. The retail labor floor covers predelivery as well as warranty labor. Time allowances must be 'reasonable and adequate' ((b)).</t>
  </si>
  <si>
    <t xml:space="preserve">Within 90 days of the date the work was performed</t>
  </si>
  <si>
    <t xml:space="preserve">Written notice setting forth the reasons the claim was not approved.</t>
  </si>
  <si>
    <t xml:space="preserve">All claims for warranty work for parts and labor made by dealers under this section must be submitted to the manufacturer within ninety days of the date the work was performed.</t>
  </si>
  <si>
    <t xml:space="preserve">§ 46.96.105(2); decision/deemed approval (3)</t>
  </si>
  <si>
    <t xml:space="preserve">Fraudulent claims: any period in which a fraud action may be commenced under state law</t>
  </si>
  <si>
    <t xml:space="preserve">Chargeback only for unsubstantiated, incorrect, or false claims; no cost recovery by reduction, surcharge or other imposition ((4)).</t>
  </si>
  <si>
    <t xml:space="preserve">The manufacturer has the right to audit claims for warranty work and to charge the dealer for any unsubstantiated, incorrect, or false claims for a period of nine months following payment.</t>
  </si>
  <si>
    <t xml:space="preserve">§ 46.96.105(2)</t>
  </si>
  <si>
    <t xml:space="preserve">Discounted / promotional; Insurance-paid; Routine maintenance; Tires; Prep / reconditioning; Other (see text)</t>
  </si>
  <si>
    <t xml:space="preserve">(i) manufacturer/distributor special events, specials, or promotional discounts; (ii) parts sold at wholesale or at reduced or specially negotiated rates for insurance repairs; (iii) routine maintenance not covered under warranty, such as fluids, filters and belts not provided in the course of repairs; (iv) nuts, bolts, fasteners without individual part numbers [OTHER]; (v) tires; (vi) batteries and light bulbs [OTHER]; (vii) vehicle reconditioning.</t>
  </si>
  <si>
    <t xml:space="preserve">A dealer may not be granted an increase in the average percentage markup or labor and diagnostic work rate more than once in one calendar year.</t>
  </si>
  <si>
    <t xml:space="preserve">§ 46.96.105(1)(c); exclusions (1)(a)(i)-(vii); labor (1)(b)</t>
  </si>
  <si>
    <t xml:space="preserve">Manufacturer must demonstrate the rates 'unreasonably exceed those of all other' franchised dealers in the same relevant market area offering the same or a competitive line.</t>
  </si>
  <si>
    <t xml:space="preserve">If manufacturer need not honor the proposed increase, the dealer may resubmit a new proposed rate (no deadlines stated).</t>
  </si>
  <si>
    <t xml:space="preserve">Department of Licensing adjudicative proceeding (ch. 34.05 RCW) or court (RCW 46.96.260)</t>
  </si>
  <si>
    <t xml:space="preserve">If a manufacturer can demonstrate that the rates unreasonably exceed those of all other franchised motor vehicle dealers in the same relevant market area offering the same or a competitive motor vehicle line</t>
  </si>
  <si>
    <t xml:space="preserve">Dealer (or dealer association) may petition DOL for an adjudicative proceeding or sue for actual damages, declaratory relief, injunction, costs and reasonable attorneys' fees if prevailing; court may treble damages for willful violations.</t>
  </si>
  <si>
    <t xml:space="preserve">Director may deny, suspend or revoke a manufacturer's license and/or assess civil penalties up to $1,000 per violation, incl. for failing to reimburse dealers within a reasonable time for warranty obligations.</t>
  </si>
  <si>
    <t xml:space="preserve">RCW 46.96.260; RCW 46.70.101(2)(j)</t>
  </si>
  <si>
    <t xml:space="preserve">Rev. Code Wash. § 46.96.105; RCW 46.96.260 (civil actions); RCW 46.70.101(2)(j) (manufacturer license sanctions)</t>
  </si>
  <si>
    <t xml:space="preserve">https://app.leg.wa.gov/RCW/default.aspx?cite=46.96.105</t>
  </si>
  <si>
    <t xml:space="preserve">Only state in this group with a statutory dealer filing deadline (90 days). Schedule of compensation may not fall below an existing dealer's schedule as of June 10, 2010. 2014 c 214 (latest amendment) applies to franchises amended, renewed or entered after June 12, 2014 (2014 c 214 s 9). No time-allowance standard. Recall pay (RCW 46.96.095) uses § 105 rates.</t>
  </si>
  <si>
    <t xml:space="preserve">Must be 'specifically disapproved in writing or by electronic transmission' within 30 days.</t>
  </si>
  <si>
    <t xml:space="preserve">If a claim is not specifically disapproved in writing or by electronic transmission within 30 days after the date on which the manufacturer, importer or distributor receives it, the claim shall be considered to be approved</t>
  </si>
  <si>
    <t xml:space="preserve">§ 218.0125(7)</t>
  </si>
  <si>
    <t xml:space="preserve">With evidence of fraud, longer audit/chargeback allowed subject to the limitations period in s. 893.93(1)(cm)</t>
  </si>
  <si>
    <t xml:space="preserve">Chargeback only of amounts paid on false or unsubstantiated claims.</t>
  </si>
  <si>
    <t xml:space="preserve">A manufacturer, importer or distributor retains the right to audit claims for a period of one year after the date on which the claim is paid and to charge back any amounts paid on claims that are false or unsubstantiated.</t>
  </si>
  <si>
    <t xml:space="preserve">Total customer labor charges for qualifying nonwarranty repairs / total hours the manufacturer's warranty time allowances would allow for those repairs (OEM-hour denominator); pay = effective rate x warranty time allowance</t>
  </si>
  <si>
    <t xml:space="preserve">Routine maintenance; Warranty / recall</t>
  </si>
  <si>
    <t xml:space="preserve">Qualifying nonwarranty repairs 'does not include routine maintenance'; warranty repairs excluded by definition.</t>
  </si>
  <si>
    <t xml:space="preserve">Manufacturer must begin paying the substantiated rate within 30 days after receiving the submission</t>
  </si>
  <si>
    <t xml:space="preserve">by dividing the total customer labor charges for qualifying nonwarranty repairs in the repair orders by the total number of hours that would be allowed for the repairs</t>
  </si>
  <si>
    <t xml:space="preserve">§ 218.0125(3m)(c)1.; sample (4m)(a)</t>
  </si>
  <si>
    <t xml:space="preserve">Pay the rate 'substantiated by the submission'. (The 'not reasonably competitive' defense in sub. (5) is for parts only.)</t>
  </si>
  <si>
    <t xml:space="preserve">Written dispute notice explaining the reason and stating the labor rate or markup the manufacturer finds substantiated by the submission; must still begin paying the substantiated rate within 30 days.</t>
  </si>
  <si>
    <t xml:space="preserve">Not specified in § 218.0125; court action under § 218.0163(1)(a) or licensing proceedings under § 218.0116</t>
  </si>
  <si>
    <t xml:space="preserve">Not more than 30 days after receiving a submission under par. (a), the manufacturer, importer, or distributor shall begin compensating the dealer based on the effective nonwarranty labor rate ... that is substantiated by the submission.</t>
  </si>
  <si>
    <t xml:space="preserve">§ 218.0125(4m)(b)</t>
  </si>
  <si>
    <t xml:space="preserve">Licensee may sue for pecuniary loss plus actual costs incl. reasonable attorney fees for violations of § 218.0116(1)(km), without exhausting administrative remedies; treble damages if willful.</t>
  </si>
  <si>
    <t xml:space="preserve">License may be denied, suspended or revoked for a manufacturer, importer or distributor violating § 218.0125.</t>
  </si>
  <si>
    <t xml:space="preserve">Wis. Stat. §§ 218.0116(1)(km), 218.0163(1)(a), (1m)</t>
  </si>
  <si>
    <t xml:space="preserve">Wis. Stat. § 218.0125; Wis. Stat. § 218.0116(1)(km) (license ground); Wis. Stat. § 218.0163 (civil damages)</t>
  </si>
  <si>
    <t xml:space="preserve">https://docs.legis.wisconsin.gov/statutes/statutes/218/i/0125</t>
  </si>
  <si>
    <t xml:space="preserve">The rate uses an OEM-hour denominator, so it absorbs the gap between retail and warranty time. No statutory frequency limit on resubmissions. Covers work 'required, requested, or approved' by the manufacturer or that it agreed to pay, not only warranty ((3m)(a)). Motorcycles use a separate regime ((2m), (3), (4)): labor at the 'effective labor rate charged all customers'. Promotional/incentive claims (§ 218.0126) have a 2-year audit window.</t>
  </si>
  <si>
    <t xml:space="preserve">No denial of an otherwise valid, properly submitted claim for clerical error or omission, incidental non-material processing failure, administrative technicality, technician certification level, or not subscribing to manufacturer training programs.</t>
  </si>
  <si>
    <t xml:space="preserve">Written notice of the grounds for disapproval.</t>
  </si>
  <si>
    <t xml:space="preserve">shall be paid by the manufacturer within 30 days after approval and shall be approved or disapproved by the manufacturer within 30 days after receipt. When any claim is disapproved, the dealer shall be notified in writing</t>
  </si>
  <si>
    <t xml:space="preserve">§ 17A-6A-8a(k)</t>
  </si>
  <si>
    <t xml:space="preserve">Limit does not apply where a claim is fraudulent</t>
  </si>
  <si>
    <t xml:space="preserve">Window runs from when the dealer made the claim. Chargeback only if false/fraudulent, repairs improper/unnecessary, or failure to reasonably substantiate per reasonable written requirements in effect when claim arose ((k)); no chargeback until notice and a 30-day opportunity to support the claim; manufacturer reimburses dealer's documented audit costs; audit charges billed separately (§ 10(b)(19)); dealer has 30 days to respond to any audit ((k)); no chargebacks/audits in retaliation for seeking retail rate ((c)).</t>
  </si>
  <si>
    <t xml:space="preserve">Audit any dealer in this state for warranty parts or warranty service compensation ... more than 12 months after the claim for payment or reimbursement has been made by the dealer.</t>
  </si>
  <si>
    <t xml:space="preserve">§ 17A-6A-10(b)(19); § 17A-6A-8a(c), (k)</t>
  </si>
  <si>
    <t xml:space="preserve">Dealer's total labor sales / total hours that generated those sales</t>
  </si>
  <si>
    <t xml:space="preserve">(1) manufacturer/distributor special events, specials, or promotional discounts; (2) parts sold at wholesale [OTHER]; (3) routine maintenance not covered under any retail customer warranty, incl. bulbs, batteries, fluids, filters, belts not provided in the course of repairs; (4) nuts, bolts, fasteners without individual part numbers [OTHER]; (5) tires; (6) vehicle reconditioning.</t>
  </si>
  <si>
    <t xml:space="preserve">30 days following manufacturer's approval (submission deemed approved if not rebutted within 30 days)</t>
  </si>
  <si>
    <t xml:space="preserve">The average labor rate shall be determined by dividing the amount of the dealer's total labor sales by the number of total hours that generated those sales.</t>
  </si>
  <si>
    <t xml:space="preserve">§ 17A-6A-8a(d)-(f), (i)</t>
  </si>
  <si>
    <t xml:space="preserve">Rate presumed reasonable; manufacturer must show it is (1) fraudulent or inaccurate, (2) not established per the section, or (3) unreasonable vs. all other same line-make dealers in an economically similar area of the state.</t>
  </si>
  <si>
    <t xml:space="preserve">Written notice with specific reasons, full explanation and copies of all calculations; if based on accuracy/reasonableness, propose an adjusted rate within 30 days of submission.</t>
  </si>
  <si>
    <t xml:space="preserve">Dealer civil action in circuit court of its county within 90 days after receiving the rebuttal/adjustment; manufacturer bears burden by preponderance</t>
  </si>
  <si>
    <t xml:space="preserve">A manufacturer or distributor must approve or rebut the presumption by demonstrating that the submitted parts markup rate or labor rate is: (1) Fraudulent or inaccurate; (2) not established in accordance with this section; or (3) unreasonable</t>
  </si>
  <si>
    <t xml:space="preserve">§ 17A-6A-8a(g)</t>
  </si>
  <si>
    <t xml:space="preserve">Dealer action for damages and equitable relief; prevailing dealer may recover up to treble damages plus reasonable attorney's fees; declaratory judgment; dealer-association standing; injunction without bond.</t>
  </si>
  <si>
    <t xml:space="preserve">W. Va. Code §§ 17A-6A-16, 17A-6A-17</t>
  </si>
  <si>
    <t xml:space="preserve">W. Va. Code § 17A-6A-8a; W. Va. Code § 17A-6A-10(b)(19) (audit/chargeback); W. Va. Code §§ 17A-6A-16, -17 (remedies)</t>
  </si>
  <si>
    <t xml:space="preserve">Bars paying on a 'flat-rate figure that is less than what the dealer charges for retail work' ((b)(3)). Dealer's written request to modify a time allowance is 'presumed reasonable' and may not be unreasonably denied ((a)(3), (e)); diagnostic allowance includes time communicating with the manufacturer (2024). Trucks/buses over 26,001 lb GVW: actual retrieval/return time at retail rate, $50 minimum per electronic-tool operation, +3 hours per 24-hour manufacturer-caused hold ((j)). OTA customer-assistance compensation required ((a)(4)). No 'deemed approved' rule for warranty claims (only for rate submissions). Article 6A has no administrative penalty provision (licensing sanctions under ch. 17A art. 6 not reviewed).</t>
  </si>
  <si>
    <t xml:space="preserve">Claim denied for a specific claim-processing requirement, clerical error or administrative technicality not questioning legitimacy may be resubmitted corrected (added 2025).</t>
  </si>
  <si>
    <t xml:space="preserve">Must be 'specifically disapproved in writing or through electronic communication' within 30 days.</t>
  </si>
  <si>
    <t xml:space="preserve">Any claim not specifically disapproved in writing or through electronic communication within thirty (30) days after receipt is construed to be approved and payment shall be made within thirty (30) days.</t>
  </si>
  <si>
    <t xml:space="preserve">§ 31-16-117(d)</t>
  </si>
  <si>
    <t xml:space="preserve">4 years where manufacturer reasonably suspects fraud</t>
  </si>
  <si>
    <t xml:space="preserve">Chargeback for unsubstantiated or incorrect claims; fraudulent claims 'as otherwise provided by law'.</t>
  </si>
  <si>
    <t xml:space="preserve">The manufacturer may audit claims and charge the dealer for unsubstantiated or incorrect claims for a period of one (1) year following payment except where the manufacturer reasonably suspects fraud.</t>
  </si>
  <si>
    <t xml:space="preserve">Total labor charged on the submitted qualified ROs / total number of hours worked on those ROs</t>
  </si>
  <si>
    <t xml:space="preserve">Discounted / promotional; Internal; Routine maintenance; Accessories; Prep / reconditioning; State inspections; Collision / body / glass; Warranty / recall; Other (see text)</t>
  </si>
  <si>
    <t xml:space="preserve">(i) manufacturer discounts incl. special events, specials, promotions, coupons and service campaigns; (ii) dealer-owned vehicles; (iii) routine maintenance incl. fluids, filters, batteries, bulbs, belts, nuts, bolts, fasteners; (iv) accessory installations; (v) reconditioning; (vi) required safety/emission inspections; (vii) collision, road hazard, force of elements, vandalism, theft or operator negligence [BODY/OTHER]; (viii) parts without individual part numbers [OTHER]; (ix) internal and dealership employee ROs; (x) labor performed by a third-party facility [OTHER]. 'Qualified repair' also excludes warranty-covered repairs.</t>
  </si>
  <si>
    <t xml:space="preserve">45 days after manufacturer receives the submission (or the additional ROs) if not contested</t>
  </si>
  <si>
    <t xml:space="preserve">A new vehicle dealer's hourly labor rate shall be calculated by dividing the total amount charged for labor for the qualified repair orders submitted ... by the total number of hours worked for the qualified repair orders.</t>
  </si>
  <si>
    <t xml:space="preserve">§ 31-16-117(f)-(h), (k), (o), (t)</t>
  </si>
  <si>
    <t xml:space="preserve">Submitted rate is 'materially incomplete, materially inaccurate or materially unreasonable'.</t>
  </si>
  <si>
    <t xml:space="preserve">Within 30 days: one-time request for ROs from 30 days before/after (dealer has 30 days to supply) if rate is substantially higher or lower than rate on record; or written contest explaining reasons, giving evidence and proposing an adjustment (notice cannot later be modified).</t>
  </si>
  <si>
    <t xml:space="preserve">Mandatory mediation (60 days, extendable by mutual agreement), then dealer civil action within 60 days; manufacturer bears burden by preponderance</t>
  </si>
  <si>
    <t xml:space="preserve">A new vehicle manufacturer may contest a new vehicle dealer's submitted rate by providing written notice to the dealer not later than thirty (30) days after receipt of the dealer's submission</t>
  </si>
  <si>
    <t xml:space="preserve">§ 31-16-117(m)-(q)</t>
  </si>
  <si>
    <t xml:space="preserve">Rate-dispute civil action after mediation (§ 31-16-117(q)); action for damages and equitable relief by a person injured for refusing to agree to a proposal that would violate the act (§ 31-16-107).</t>
  </si>
  <si>
    <t xml:space="preserve">Misdemeanor: fine up to $750 and/or up to 6 months' imprisonment per violation (§ 31-16-112); department may deny/suspend/revoke/refuse to renew a license for knowing statutory violations (§ 31-16-103(c)(i); listed licensees include dealers and direct-sale/Wyoming-based manufacturers).</t>
  </si>
  <si>
    <t xml:space="preserve">Wyo. Stat. Ann. §§ 31-16-107, 31-16-112, 31-16-103(c), 31-16-117(q)</t>
  </si>
  <si>
    <t xml:space="preserve">Wyo. Stat. Ann. § 31-16-117; Wyo. Stat. Ann. § 31-16-112 (penalty); Wyo. Stat. Ann. § 31-16-103(c) (license sanctions); Wyo. Stat. Ann. § 31-16-124(g) (trailer exemption)</t>
  </si>
  <si>
    <t xml:space="preserve">https://wyoleg.gov/statutes/compress/title31.pdf (current Title 31) and enrolled act https://wyoleg.gov/2025/Enroll/SF0106.pdf</t>
  </si>
  <si>
    <t xml:space="preserve">(b) still says the warranty labor rate 'shall not exceed' the nonwarranty rate (worded as a ceiling), 'provided that rate is reasonable'; the 2025 (f)-(q) process is what sets the rate. The formula divides by 'hours worked', while (t)(v)(B) requires ROs to show 'labor hours charged'. Carve-outs ((r)): EV propulsion batteries supplied free get a reasonable handling fee; complete engine/transmission assemblies are paid at cost + 40%. Wyoming statutes skip subsection letters (i) and (l) by drafting convention. Applies to medium/heavy-duty truck component and engine makers ((e)). Since 7/1/2025, non-house-trailer/semitrailer trailer makers are exempt (§ 31-16-124(g)).</t>
  </si>
  <si>
    <t xml:space="preserve">Sample rule</t>
  </si>
  <si>
    <t xml:space="preserve">RO count</t>
  </si>
  <si>
    <t xml:space="preserve">Day window</t>
  </si>
  <si>
    <t xml:space="preserve">Max RO age (days)</t>
  </si>
  <si>
    <t xml:space="preserve">Denominator</t>
  </si>
  <si>
    <t xml:space="preserve">Exclusion codes</t>
  </si>
  <si>
    <t xml:space="preserve">Formula</t>
  </si>
  <si>
    <t xml:space="preserve">Resubmission frequency</t>
  </si>
  <si>
    <t xml:space="preserve">Note</t>
  </si>
  <si>
    <t xml:space="preserve">no statutory labor sample</t>
  </si>
  <si>
    <t xml:space="preserve">Hours billed</t>
  </si>
  <si>
    <t xml:space="preserve">DISCOUNT; MAINT; TIRES; RECON; INSURANCE; OTHER</t>
  </si>
  <si>
    <t xml:space="preserve">fewer of the two samples</t>
  </si>
  <si>
    <t xml:space="preserve">DISCOUNT; INTERNAL; MAINT; ACCESS; TIRES; ALIGN; RECON; INSPECT; GOVT; BODY; INSURANCE; GOODWILL; OTHER</t>
  </si>
  <si>
    <t xml:space="preserve">MAINT; TIRES; OTHER</t>
  </si>
  <si>
    <t xml:space="preserve">DISCOUNT; ENGINE_TRANS; MAINT; RECON; OTHER</t>
  </si>
  <si>
    <t xml:space="preserve">DISCOUNT; MAINT; RECON; ACCESS; BODY; INSURANCE; INSPECT; GOODWILL; GOVT; SVC_CONTRACT; TIRES; ALIGN; INTERNAL; OTHER</t>
  </si>
  <si>
    <t xml:space="preserve">dealer chooses</t>
  </si>
  <si>
    <t xml:space="preserve">DISCOUNT; MAINT; TIRES; INTERNAL; RECON; GOODWILL; INSPECT; FLEET; GOVT; INSURANCE; OTHER</t>
  </si>
  <si>
    <t xml:space="preserve">prior calendar month</t>
  </si>
  <si>
    <t xml:space="preserve">DISCOUNT; ENGINE_TRANS; MAINT; TIRES; RECON; OTHER</t>
  </si>
  <si>
    <t xml:space="preserve">DISCOUNT; FLEET; INSURANCE; SVC_CONTRACT; GOVT; TIRES; MAINT; ALIGN; ENGINE_TRANS; RECON; OTHER</t>
  </si>
  <si>
    <t xml:space="preserve">INTERNAL; RECON; FLEET; INSURANCE; SVC_CONTRACT; GOVT; DISCOUNT; WARRANTY; OTHER</t>
  </si>
  <si>
    <t xml:space="preserve">DISCOUNT; MAINT; TIRES; RECON; OTHER</t>
  </si>
  <si>
    <t xml:space="preserve">MAINT; TIRES</t>
  </si>
  <si>
    <t xml:space="preserve">DISCOUNT; INSURANCE; SVC_CONTRACT; INSPECT; FLEET; ENGINE_TRANS; MAINT; TIRES; RECON; OTHER</t>
  </si>
  <si>
    <t xml:space="preserve">RO count only</t>
  </si>
  <si>
    <t xml:space="preserve">MAINT</t>
  </si>
  <si>
    <t xml:space="preserve">Illinois: 100 sequential ROs chosen by the dealer, less simple-maintenance ROs. No day window or age limit stated.</t>
  </si>
  <si>
    <t xml:space="preserve">DISCOUNT; MAINT; RECON; ACCESS; BODY; INSPECT; GOODWILL; TIRES; OTHER</t>
  </si>
  <si>
    <t xml:space="preserve">Indiana's labor sentence has no 'lesser of' language, so both samples are shown.</t>
  </si>
  <si>
    <t xml:space="preserve">DISCOUNT; OTHER; INTERNAL; MAINT; ACCESS; TIRES; ALIGN; RECON; INSPECT; GOVT; INSURANCE; SVC_CONTRACT; GOODWILL; BODY</t>
  </si>
  <si>
    <t xml:space="preserve">MAINT; OTHER; TIRES; RECON</t>
  </si>
  <si>
    <t xml:space="preserve">ACCESS; DISCOUNT; BODY; INSPECT; INSURANCE; SVC_CONTRACT; MAINT; TIRES; RECON; GOODWILL; OTHER</t>
  </si>
  <si>
    <t xml:space="preserve">DISCOUNT; OTHER; MAINT; TIRES; RECON; ACCESS; BODY; INSPECT; GOODWILL; GOVT</t>
  </si>
  <si>
    <t xml:space="preserve">DISCOUNT; OTHER; ENGINE_TRANS; MAINT; TIRES; RECON; ACCESS</t>
  </si>
  <si>
    <t xml:space="preserve">DISCOUNT; OTHER; ENGINE_TRANS; MAINT; TIRES; RECON</t>
  </si>
  <si>
    <t xml:space="preserve">DISCOUNT; OTHER; INTERNAL; MAINT; ACCESS; TIRES; ALIGN; RECON; INSPECT; GOVT; INSURANCE; BODY; GOODWILL</t>
  </si>
  <si>
    <t xml:space="preserve">MAINT; TIRES; ALIGN; GOVT; INSURANCE; SVC_CONTRACT; DISCOUNT; INTERNAL; ACCESS; BODY; INSPECT; RECON; OTHER; GOODWILL</t>
  </si>
  <si>
    <t xml:space="preserve">DISCOUNT; INSURANCE; ENGINE_TRANS; MAINT; ALIGN; TIRES; RECON; OTHER</t>
  </si>
  <si>
    <t xml:space="preserve">DISCOUNT; OTHER; MAINT; TIRES; RECON; ALIGN; INTERNAL; ACCESS</t>
  </si>
  <si>
    <t xml:space="preserve">DISCOUNT; OTHER; MAINT; RECON; ACCESS; BODY; INSURANCE; INSPECT; GOODWILL; GOVT; TIRES; ALIGN; INTERNAL</t>
  </si>
  <si>
    <t xml:space="preserve">New Jersey also allows an optional labor-time multiplier: customer-billed hours ÷ OEM hours for the same sampled repairs, applied to OEM warranty times.</t>
  </si>
  <si>
    <t xml:space="preserve">OTHER; TIRES; MAINT; RECON</t>
  </si>
  <si>
    <t xml:space="preserve">DISCOUNT; OTHER; MAINT; RECON; ACCESS; BODY; INSURANCE; INSPECT; GOODWILL; GOVT; TIRES</t>
  </si>
  <si>
    <t xml:space="preserve">MAINT; DISCOUNT; OTHER; GOODWILL; TIRES; ALIGN; INTERNAL; RECON</t>
  </si>
  <si>
    <t xml:space="preserve">DISCOUNT; OTHER; MAINT; RECON</t>
  </si>
  <si>
    <t xml:space="preserve">DISCOUNT; OTHER; MAINT; TIRES; RECON</t>
  </si>
  <si>
    <t xml:space="preserve">INTERNAL; DISCOUNT; OTHER; GOVT; INSURANCE; TIRES; MAINT; ALIGN</t>
  </si>
  <si>
    <t xml:space="preserve">sample with the higher rate</t>
  </si>
  <si>
    <t xml:space="preserve">Texas uses the GREATER rate of the two samples, both from the preceding six months.</t>
  </si>
  <si>
    <t xml:space="preserve">MAINT; TIRES; ALIGN; GOVT; INSURANCE; SVC_CONTRACT; DISCOUNT; INTERNAL; ACCESS; INSPECT; RECON; GOODWILL; WARRANTY; OTHER</t>
  </si>
  <si>
    <t xml:space="preserve">DISCOUNT; INTERNAL; INSURANCE</t>
  </si>
  <si>
    <t xml:space="preserve">Virginia says 'whichever occurs first'; treated here as the smaller sample. No RO age limit is stated.</t>
  </si>
  <si>
    <t xml:space="preserve">DISCOUNT; INSURANCE; MAINT; TIRES; RECON; OTHER</t>
  </si>
  <si>
    <t xml:space="preserve">OEM time-allowance hours</t>
  </si>
  <si>
    <t xml:space="preserve">MAINT; WARRANTY</t>
  </si>
  <si>
    <t xml:space="preserve">Wisconsin divides customer labor charges by the hours the manufacturer's warranty time allowances would allow for the same repairs, so each sampled RO needs its OEM hours.</t>
  </si>
  <si>
    <t xml:space="preserve">DISCOUNT; INTERNAL; MAINT; ACCESS; RECON; INSPECT; BODY; WARRANTY; OTHER</t>
  </si>
  <si>
    <t xml:space="preserve">Section</t>
  </si>
  <si>
    <t xml:space="preserve">Last amended (year)</t>
  </si>
  <si>
    <t xml:space="preserve">Amending act</t>
  </si>
  <si>
    <t xml:space="preserve">Amendment effective</t>
  </si>
  <si>
    <t xml:space="preserve">Originally enacted</t>
  </si>
  <si>
    <t xml:space="preserve">Next change effective</t>
  </si>
  <si>
    <t xml:space="preserve">Next change act</t>
  </si>
  <si>
    <t xml:space="preserve">Next change summary</t>
  </si>
  <si>
    <t xml:space="preserve">Audit fields verified</t>
  </si>
  <si>
    <t xml:space="preserve">Coverage verified</t>
  </si>
  <si>
    <t xml:space="preserve">History source</t>
  </si>
  <si>
    <t xml:space="preserve">AS 45.25.210</t>
  </si>
  <si>
    <t xml:space="preserve">HB 233 (ch. 20 SLA 2024)</t>
  </si>
  <si>
    <t xml:space="preserve">2024-10-27</t>
  </si>
  <si>
    <t xml:space="preserve">2026-09-24</t>
  </si>
  <si>
    <t xml:space="preserve">akleg Bill History for HB 233 (33rd Leg.): 'SIGNED INTO LAW 7/29 CHAPTER 20 SLA 24' and 'EFFECTIVE DATE(S) OF LAW 10/27/24'. HB 136 (30th Leg.): 'CHAPTER 50 SLA 18', effective 9/30/18. HB 136 added §§ 45.25.200-.210 and repealed former AS 45.25.320 (the 2002 18-month claim-audit limit). The 2025 Alaska Statutes print was read; 34th Legislature (2025-26) bills were not exhaustively searched.</t>
  </si>
  <si>
    <t xml:space="preserve">Act 2022-104 (SB 52), § 1</t>
  </si>
  <si>
    <t xml:space="preserve">2022-06-01</t>
  </si>
  <si>
    <t xml:space="preserve">ALISON official code history note: '(Acts 1981, No. 81-390, p. 596, §7; Acts 1991, No. 91-212...; Act 2000-267...; Act 2010-198...; Act 2022-104, §1.)'. ALISON bill record for SB52/Act 2022-104 gives effective date 6/1/22. ALISON instrument searches of the 2023-2026 sessions found no motor-vehicle-dealer act.</t>
  </si>
  <si>
    <t xml:space="preserve">Ark. Code Ann. § 23-112-313</t>
  </si>
  <si>
    <t xml:space="preserve">Act 515 of 2023 (HB 1579), §§ 1-2</t>
  </si>
  <si>
    <t xml:space="preserve">2023-08-01</t>
  </si>
  <si>
    <t xml:space="preserve">Justia 2025 Ark. Code history (mirror; the official code is Lexis-hosted): 'Amended by Act 2023, No. 515, § 2, eff. 8/1/2023 ... Acts 1997, No. 1154, § 2'. Enrolled Act 515 was approved 4/10/23 with no emergency clause. § 23-112-310(d) was last amended by Act 1077 of 2021, § 4 (history: '2021, No. 1077, § 4'). No 2025 amendment to §§ 310 or 313 was found.</t>
  </si>
  <si>
    <t xml:space="preserve">A.R.S. § 28-4451</t>
  </si>
  <si>
    <t xml:space="preserve">Laws 2024, ch. 94 (HB 2410), § 1</t>
  </si>
  <si>
    <t xml:space="preserve">2024-09-14</t>
  </si>
  <si>
    <t xml:space="preserve">azleg.gov ARS pages have no history notes. Chaptered Laws 2024, ch. 94 (azleg.gov/legtext/56leg/2R/laws/0094.pdf; 'APPROVED BY THE GOVERNOR APRIL 8, 2024') amends § 28-4451; no emergency clause, so the 2024 general effective date (9/14/2024) applies. The azleg bill API and web searches found no 2025-2026 act amending § 28-4451. Original enactment year is not shown on the official site (current numbering dates from the Title 28 recodification).</t>
  </si>
  <si>
    <t xml:space="preserve">Cal. Veh. Code § 3065</t>
  </si>
  <si>
    <t xml:space="preserve">AB 179 (Stats. 2019, ch. 796, § 11)</t>
  </si>
  <si>
    <t xml:space="preserve">2020-01-01</t>
  </si>
  <si>
    <t xml:space="preserve">leginfo credit lines: § 3065 '(Amended by Stats. 2019, Ch. 796, Sec. 11. (AB 179) Effective January 1, 2020.)'. § 3065.2 '(Amended by Stats. 2020, Ch. 370, Sec. 265. (SB 1371) Effective January 1, 2021.)'. § 3065.4 was added by Stats. 2019, ch. 796, § 15. leginfo shows only the latest credit, so the original enactment year is not given. 2026 bills awaiting signature (deadline 9/30/2026, effective 1/1/2027) were not exhaustively checked.</t>
  </si>
  <si>
    <t xml:space="preserve">SB 23-078 (L. 2023, ch. 51, p. 182, § 1)</t>
  </si>
  <si>
    <t xml:space="preserve">2023-08-07</t>
  </si>
  <si>
    <t xml:space="preserve">Justia 2025 C.R.S. source note (mirror; the official C.R.S. is Lexis-hosted): 'L. 2018: Entire section added,(SB 18-219), ch. 330, p. 1974, § 2, effective October 1. L. 2023: (2), IP(6)(a)(I), (6)(a)(I)(A), and (6)(a)(II) amended,(SB 23-078), ch. 51, p. 182, § 1, effective August 7.' Checked against enrolled SB 23-078. § 44-20-135: 'L. 2018: Entire article added with relocations,(SB 18-030)'. No 2024-2026 amendment was found by web search; the 2026 session was not exhaustively checked.</t>
  </si>
  <si>
    <t xml:space="preserve">P.A. 15-191, § 1 (HB 6820)</t>
  </si>
  <si>
    <t xml:space="preserve">2015-10-01</t>
  </si>
  <si>
    <t xml:space="preserve">2026-10-01</t>
  </si>
  <si>
    <t xml:space="preserve">P.A. 26-24 (sSB 413), § 23 (approved May 27, 2026)</t>
  </si>
  <si>
    <t xml:space="preserve">Rewrites § 42-133s(j) so the 30-day approve/pay, 1-year audit/chargeback and 30-day resubmission rules also cover the new § 22 stop-sale/do-not-drive used-vehicle recall compensation claims. The labor-rate text in (c), (d) and (f) is unchanged.</t>
  </si>
  <si>
    <t xml:space="preserve">Official 2025-revision source note: '(P.A. 82-445, S. 2, 15; P.A. 83-198, S. 2, 11; P.A. 95-245, S. 1, 3; P.A. 09-50, S. 1; P.A. 15-191, S. 1.)'. P.A. 15-191 § 1 says '(Effective October 1, 2015)' and was approved July 2, 2015. The 2026 Supplement's Title 42 index lists no ch. 739 changes. P.A. 26-24 PDF was read.</t>
  </si>
  <si>
    <t xml:space="preserve">84 Del. Laws c. 389, § 3 (SS 2 for SB 278, as amended by SA 1)</t>
  </si>
  <si>
    <t xml:space="preserve">2024-08-29</t>
  </si>
  <si>
    <t xml:space="preserve">delcode source lines under § 4903: '64 Del. Laws, c. 27, § 1; 73 Del. Laws, c. 78, § 4; 78 Del. Laws, c. 372, § 1; 81 Del. Laws, c. 289, § 2; 84 Del. Laws, c. 389, § 3'. The session-law page for c. 389 says 'Approved August 29, 2024' and has no delayed effective-date clause (so effective on approval). No 85th-GA (2025-26) change appears on delcode.</t>
  </si>
  <si>
    <t xml:space="preserve">Ch. 2009-93, § 4 (CS/CS/CS/SB 2630). Ch. 2017-187, § 3 later reenacted § 320.696 without change.</t>
  </si>
  <si>
    <t xml:space="preserve">2009-05-28</t>
  </si>
  <si>
    <t xml:space="preserve">2026 Florida Statutes history note for § 320.696: '...s. 1, ch. 2007-208; s. 3, ch. 2008-62; s. 4, ch. 2009-93; s. 3, ch. 2017-187.' Ch. 2009-93 was approved May 28, 2009 and took effect upon becoming law. Ch. 2017-187 § 3 only reenacted § 320.696 to incorporate § 320.64 amendments (effective 6/26/2017). Separately, ch. 2026-39 § 13 amends § 320.64(16), (36)(a) and adds (44) effective 10/1/2026; none of those are warranty provisions.</t>
  </si>
  <si>
    <t xml:space="preserve">O.C.G.A. § 10-1-641</t>
  </si>
  <si>
    <t xml:space="preserve">SB 81 (Ga. L. 2025, p. 703, § 4)</t>
  </si>
  <si>
    <t xml:space="preserve">2025-07-01</t>
  </si>
  <si>
    <t xml:space="preserve">Justia 2025 Code of Georgia history (mirror; the official O.C.G.A. is Lexis-hosted): 'Code 1981, § 10-1-641, enacted by Ga. L. 1993, p. 1585, § 2; ... Ga. L. 2024, p. 1052, § 2(22)/SB 448, effective July 1, 2024; Ga. L. 2025, p. 703, § 4/SB 81, effective July 1, 2025.' The 2025 amendment added (a)(1)(E) (pay for remote/OTA-update assistance). The Governor's 2026 signed-legislation list shows no franchise-practices act.</t>
  </si>
  <si>
    <t xml:space="preserve">HRS § 437-28(a)(21)(G) (labor rate + 30/30 claim rule) and § 437-56 (claims, parts)</t>
  </si>
  <si>
    <t xml:space="preserve">L 2012, c 246, § 2 (HB 1543) amending § 437-56; § 437-28 last amended L 2010, c 164, § 6 (SB 2859), eff. 2010-07-01 (deleted ', parts, and other expenses' from (21)(G))</t>
  </si>
  <si>
    <t xml:space="preserve">2012-07-06</t>
  </si>
  <si>
    <t xml:space="preserve">HRS history notes on data.capitol.hawaii.gov (§ 437-28: L 1939, c 258, § 11 ... am L 2010, c 164, § 6; § 437-56: L 2010, c 164; am L 2012, c 246, § 2; § 437-57: L 2010, c 164); SLH 2012 Act 246 ('This Act shall take effect upon its approval', approved July 6, 2012); SLH 2010 Act 164 (eff. July 1, 2010). 2026 check: scanned the latest drafts of all 2,295 bills that advanced in the 2026 session; none cites §§ 437-28/52/56/57/59.</t>
  </si>
  <si>
    <t xml:space="preserve">2023 Iowa Acts ch. 19, § 1971 (SF 514, state government reorganization; conforming agency-name change in (2)(b)(3)(b)). Last substantive change: 2021 Iowa Acts ch. 38, § 5</t>
  </si>
  <si>
    <t xml:space="preserve">2023-07-01</t>
  </si>
  <si>
    <t xml:space="preserve">Iowa Code 2026 history line: '[C71, 73, 75, 77, 79, 81, §322A.5] 2018 Acts, ch 1095, §4; 2021 Acts, ch 38, §5; 2023 Acts, ch 19, §1971'. [C71] means the section first appears in the Code of 1971; the enacting session law was not verified. 2023 ch. 19 (SF 514) was approved April 4, 2023; no specific effective date for § 1971, so the Iowa July 1 default applies. 2026 check: scanned all 201 chapters of the 2026 Iowa Acts; none amends ch. 322A. 2026 ch. 1057 (HF 2485, approved April 30, 2026) amended § 322.3(12) (remote sales) only, not (14)/(16).</t>
  </si>
  <si>
    <t xml:space="preserve">2011 Idaho Sess. Laws ch. 327, § 4 (H 195)</t>
  </si>
  <si>
    <t xml:space="preserve">2011-07-01</t>
  </si>
  <si>
    <t xml:space="preserve">History line in the official ch. 16 PDF, which is current through 2026 (it shows 2026 ch. 47): 'added 1988, ch. 265, sec. 399; am. 1997, ch. 312, sec. 2; am. 2011, ch. 327, sec. 4'. H0195 (2011) bill page: signed April 14, 2011; Session Law Chapter 327; effective 07/01/2011.</t>
  </si>
  <si>
    <t xml:space="preserve">P.A. 102-232 (eff. 1-1-2022) and P.A. 102-669 (eff. 11-16-2021)</t>
  </si>
  <si>
    <t xml:space="preserve">2022-01-01</t>
  </si>
  <si>
    <t xml:space="preserve">ILCS source note on Sec. 6: '(Source: P.A. 102-232, eff. 1-1-22; 102-669, eff. 11-16-21.)'. The Act dates from P.A. 81-43 (1979). SB1939 (104th GA), which amends 710/6: passed the Senate 55-0, re-assigned to House Rules 3/20/2026; not law. No 104th GA public act (104-0001 to 104-0854) touches the Franchise Act.</t>
  </si>
  <si>
    <t xml:space="preserve">IC 9-32-13-15.5</t>
  </si>
  <si>
    <t xml:space="preserve">P.L.92-2025, SEC.4 (HEA 1466)</t>
  </si>
  <si>
    <t xml:space="preserve">Section credits in Indiana Code 2026: 'As added by P.L.167-2016, SEC.2. Amended by P.L.112-2018, SEC.2; P.L.284-2019, SEC.36; P.L.92-2025, SEC.4.' 2025 Acts: P.L.92-2025 = H.1466, approved April 16, 2025; SECTION 4 [EFFECTIVE JULY 1, 2025] deleted the pre-complaint mediation-demand sentence from 15.5(e). § 17 last amended P.L.134-2023, SEC.6. The 2026 Acts text contains no IC 9-32-13 amendment.</t>
  </si>
  <si>
    <t xml:space="preserve">L. 2019, ch. 5, § 1 (2019 SB 39)</t>
  </si>
  <si>
    <t xml:space="preserve">2019-07-01</t>
  </si>
  <si>
    <t xml:space="preserve">Revisor history: 'L. 1980, ch. 36, § 15; L. 1994, ch. 302, § 7; L. 2010, ch. 71, § 5; L. 2019, ch. 5, § 1; July 1.' KS Legislature SB 39 (2019), 'Compensation for warranty services...': approved by the Governor March 20, 2019; law effective July 1, 2019. The revisor's 2023 and 2026 composite KSA lists show no 8-24xx entry (the 2024 list shows only 8-2408). The 2025 list could not be retrieved (connection resets).</t>
  </si>
  <si>
    <t xml:space="preserve">KRS 190.046</t>
  </si>
  <si>
    <t xml:space="preserve">2026 Ky. Acts ch. 83, sec. 1 (HB 648)</t>
  </si>
  <si>
    <t xml:space="preserve">2026-07-15</t>
  </si>
  <si>
    <t xml:space="preserve">Official KRS history: 'Amended 2026 Ky. Acts ch. 83, sec. 1, effective July 15, 2026. -- Amended 2024 Ky. Acts ch. 162, sec. 1, effective July 15, 2024. -- Amended 2023 Ky. Acts ch. 7, sec. 4, effective June 29, 2023 ... -- Created 1972 Ky. Acts ch. 75, sec. 2.' LRC bill record 26RS HB 648: signed by the Governor 04/10/26 (Acts Ch. 83).</t>
  </si>
  <si>
    <t xml:space="preserve">La. R.S. 32:1262</t>
  </si>
  <si>
    <t xml:space="preserve">Acts 2021, No. 76, § 1 (HB 502)</t>
  </si>
  <si>
    <t xml:space="preserve">2021-08-01</t>
  </si>
  <si>
    <t xml:space="preserve">Official history: 'Acts 2005, No. 500, §1, eff. July 12, 2005; Acts 2008, No. 233 ... Acts 2013, No. 61, §1; Acts 2021, No. 76, §1'. 2005 is the current codification; predecessor provisions existed. BillInfo 21RS HB502: Act 76, effective 08/01/2021. 2026: the compiled text does not yet show any 2026 act. The LMVC bulletin B-2026-005 shows 2026 Act 967 (eff. 8/1/2026) amended R.S. 32:1254 for recreational products. 2026 HB 939 (new commission) stayed pending in committee. No 2026 act amending § 1262 was found.</t>
  </si>
  <si>
    <t xml:space="preserve">Mass. Gen. Laws ch. 93B, § 9</t>
  </si>
  <si>
    <t xml:space="preserve">St. 2012, c. 152, §§ 8-9 (rewrote § 9(b); added chargeback-meeting paragraph to § 9(e))</t>
  </si>
  <si>
    <t xml:space="preserve">2012-10-16</t>
  </si>
  <si>
    <t xml:space="preserve">malegislature.gov General Laws page has no history note. Session law text read: Acts 2012, c. 152 (approved 7/18/2012, no emergency preamble, so it took effect 90 days later; date computed). Current § 9(b) text is identical to c. 152 § 8. Ch. 93B added by St. 1970, c. 814 § 1 and rewritten by St. 2002, c. 222 § 3 (per SJC, Mass. State Auto. Dealers Ass'n v. Tesla, 469 Mass. 675).</t>
  </si>
  <si>
    <t xml:space="preserve">Md. Code, Transp. § 15-212</t>
  </si>
  <si>
    <t xml:space="preserve">2020 Md. Laws ch. 628 (SB 749, Annual Corrective Bill; tabulation fix in (c)(14)). Last substantive change: 2016 Md. Laws ch. 720 (HB 525), eff. 2016-10-01</t>
  </si>
  <si>
    <t xml:space="preserve">2020-05-08</t>
  </si>
  <si>
    <t xml:space="preserve">The MGA statute page shows no history note. MGA bill master lists 2013-2026 (Statutes field): enacted bills touching § 15-212 are 2016 HB 525 (Ch. 720; 'this Act shall take effect October 1, 2016'), which added the 9-month chargeback rule, (c)(12)-(14), and more, and 2020 SB 749 (Ch. 628; emergency, enacted May 8, 2020), whose drafter's note says the (c)(14) tabulation error 'Occurred: Ch. 720, Acts of 2016'. 2023 HB1208 and 2025 SB45 were withdrawn; no 2026 bill cites § 15-212; the page with 'enactments=true' is identical (no pending changes). Original enactment year is not shown (Transportation Article codified 1977; not verified at section level).</t>
  </si>
  <si>
    <t xml:space="preserve">10 M.R.S. § 1176</t>
  </si>
  <si>
    <t xml:space="preserve">PL 2013, c. 534, § 7 (added the clerical-error paragraph)</t>
  </si>
  <si>
    <t xml:space="preserve">Revisor section history: 'PL 1975, c. 573 (NEW) ... PL 2003, c. 356, §10 (AMD). PL 2013, c. 534, §7 (AMD).' § 1176-A last amended PL 2017, c. 217, § 8. Revisor data were extracted 10/20/2025, so any 2026 laws (132nd Legislature, 2nd Regular Session) are not reflected, and none were found or ruled out. The effective date of PL 2013, c. 534 was not confirmed.</t>
  </si>
  <si>
    <t xml:space="preserve">Mich. Comp. Laws §§ 445.1577 and 445.1577a</t>
  </si>
  <si>
    <t xml:space="preserve">2018 PA 668 (amended § 445.1577; added § 445.1577a)</t>
  </si>
  <si>
    <t xml:space="preserve">2019-03-28</t>
  </si>
  <si>
    <t xml:space="preserve">History notes on the official MCL pages. § 17: 1981 Act 118 (Imd. Eff. 7/19/1981); Am. 1983 Act 188; Am. 2010 Act 138; Am. 2018 Act 668, Eff. 3/28/2019. § 17a: Add. 2018 Act 668, Eff. 3/28/2019.</t>
  </si>
  <si>
    <t xml:space="preserve">Minn. Stat. § 80E.041</t>
  </si>
  <si>
    <t xml:space="preserve">2023 Minn. Laws ch. 57, art. 4, § 4 (subd. 4)</t>
  </si>
  <si>
    <t xml:space="preserve">2023-10-01</t>
  </si>
  <si>
    <t xml:space="preserve">Revisor history note ('2018 c 203 s 1; 2023 c 57 art 4 s 4'), 2025 Statutes recent history, and 2023 c. 57 art. 4 § 4 'EFFECTIVE DATE ... October 1, 2023'. The Revisor's Table 2 for the 2026 session shows only § 80E.13 amended in ch. 80E (2026 c. 88 art. 1 § 17, renumbering). The predecessor § 80E.04 was enacted 1981 c. 59 and repealed 2018.</t>
  </si>
  <si>
    <t xml:space="preserve">2023 S.B. 398</t>
  </si>
  <si>
    <t xml:space="preserve">2023-08-28</t>
  </si>
  <si>
    <t xml:space="preserve">Revisor history note '(L. 2001 H.B. 575, A.L. 2010 H.B. 2198, A.L. 2023 S.B. 398)' and version table (current version effective 8/28/2023, no later or future version listed as of 9/24/2026)</t>
  </si>
  <si>
    <t xml:space="preserve">Miss. Code Ann. §§ 63-17-85(j), 63-17-86</t>
  </si>
  <si>
    <t xml:space="preserve">Laws 2021, ch. 315 (HB 746), §§ 2-3</t>
  </si>
  <si>
    <t xml:space="preserve">2021-07-01</t>
  </si>
  <si>
    <t xml:space="preserve">HB 746 § 4 ('effect ... from and after July 1, 2021'). Justia 2025 history notes: § 63-17-85 'Codes 1942, § 8071.7-06; Laws, 1970, ch. 478, § 6; ... Laws, 2021, ch. 315, § 2'. § 63-17-86 'Laws, 2021, ch. 315, § 3'. § 63-17-117: Laws 2000 ch. 418 § 6; Laws 2014 ch. 349 § 4. The MS Legislature measure lists for 2022-2026 show no enacted bill touching these sections. The official code is Lexis-only.</t>
  </si>
  <si>
    <t xml:space="preserve">2025 Mont. Laws ch. 47, § 28 (HB 99)</t>
  </si>
  <si>
    <t xml:space="preserve">2025-10-01</t>
  </si>
  <si>
    <t xml:space="preserve">MCA 2025 history note 'En. Sec. 4, Ch. 283, L. 2019; amd. Sec. 17, Ch. 389, L. 2021; amd. Sec. 28, Ch. 47, L. 2025'. HB 99 (signed 4/3/2025, ch. 47 per api.legmt.gov) has no effective-date section, so the October 1 default under MCA 1-2-201 applies (inferred). A diff of HB 99 § 28 against the current MCA shows only a restyled definitions lead-in ('For the purposes of' struck); no substantive change.</t>
  </si>
  <si>
    <t xml:space="preserve">S.L. 2025-41 (SB 295), § 8</t>
  </si>
  <si>
    <t xml:space="preserve">Official history note: '(1973, c. 88, s. 3; ... 2023-116, s. 5; 2025-25, s. 29(5); 2025-41, s. 8.)'. S.L. 2025-41 was approved 7/1/2025; § 11 makes it effective when it becomes law, for current and future franchises. S.L. 2025-25 § 29(5) (approved 6/26/2025) is a Revisor 'website' wording change.</t>
  </si>
  <si>
    <t xml:space="preserve">S.L. 2025, ch. 463 (HB 1515)</t>
  </si>
  <si>
    <t xml:space="preserve">2025-08-01</t>
  </si>
  <si>
    <t xml:space="preserve">S.L. 2025 ch. 463 (approved 4/10/2025, filed 4/11/2025; no emergency clause, so the Aug. 1 default applies). Original: 'S.L. 2013, ch. 388, § 1', effective 4/16/2013 by emergency clause, per the LexisNexis-annotated compilation (dealerlaw.com 2022 PDF). The official code PDF carries no history notes. § 51-07-02.4: S.L. 2011, ch. 372, § 3.</t>
  </si>
  <si>
    <t xml:space="preserve">Laws 2025, LB 667, § 1</t>
  </si>
  <si>
    <t xml:space="preserve">2025-09-03</t>
  </si>
  <si>
    <t xml:space="preserve">Laws 2026, LB 972, § 70 (approved 4/14/2026)</t>
  </si>
  <si>
    <t xml:space="preserve">Adds subsection (7), 'This section does not apply to recreational vehicles'. RV warranty terms move to the new Recreational Vehicle Industry Regulation Act (§§ 60-1442 et seq.).</t>
  </si>
  <si>
    <t xml:space="preserve">Official source note: 'Laws 1984, LB 825, § 21; ... Laws 2013, LB165, § 1; Laws 2025, LB667, § 1; Laws 2026, LB972, § 70. Operative Date: October 1, 2026'. LB 667 was approved 5/15/2025 with no emergency clause or operative date; it took effect on the 2025 general effective date, 9/3/2025, 3 calendar months after the 6/2/2025 adjournment (Nebraska Examiner, 6/2/2025). LB 972 § 84 makes § 70 operative 10/1/2026. As of 9/24/2026 the website text did not yet show (7).</t>
  </si>
  <si>
    <t xml:space="preserve">N.H. Rev. Stat. Ann. § 357-C:5</t>
  </si>
  <si>
    <t xml:space="preserve">Laws 2013, ch. 130, §§ 12-13</t>
  </si>
  <si>
    <t xml:space="preserve">2013-09-23</t>
  </si>
  <si>
    <t xml:space="preserve">Official RSA source note: '1981, 477:2. 1987, 159:1. 1990, 84:3. 1996, 263:3. 2000, 261:2 ... 2009, 20:5-7 ... 2013, 130:12, 13, eff. Sept. 23, 2013.' A 2025-2026 bill search turned up no enacted change to 357-C:5.</t>
  </si>
  <si>
    <t xml:space="preserve">N.J. Stat. Ann. § 56:10-15</t>
  </si>
  <si>
    <t xml:space="preserve">P.L.2025, c.140, § 7 (S3309)</t>
  </si>
  <si>
    <t xml:space="preserve">2026-04-01</t>
  </si>
  <si>
    <t xml:space="preserve">Enrolled P.L.2025, c.140: 'Approved September 11, 2025'. § 8: effective 'the first day of the seventh month following enactment' (= 4/1/2026). It applies to franchise agreements in effect on or after that date and not retroactively to earlier causes of action. The section originated as P.L.1977, c.84, § 3. 2026 A4992 (introduced) touches § 56:10-26 only.</t>
  </si>
  <si>
    <t xml:space="preserve">N.M. Stat. Ann. § 57-16-7</t>
  </si>
  <si>
    <t xml:space="preserve">Laws 2018, ch. 28, § 3</t>
  </si>
  <si>
    <t xml:space="preserve">2018-03-01</t>
  </si>
  <si>
    <t xml:space="preserve">Official NMSA history/annotations: '1953 Comp., § 64-37-7, enacted by Laws 1973, ch. 6, § 7; ... 2011, ch. 118, § 1; 2018, ch. 28, § 3' and 'The 2018 amendment, effective March 1, 2018' (emergency clause, approved 3/1/2018). 2026 SB 22 (would have amended §§ 57-16-3, -5 only) shows 'Died' on nmlegis.gov.</t>
  </si>
  <si>
    <t xml:space="preserve">Nev. Rev. Stat. § 482.36385</t>
  </si>
  <si>
    <t xml:space="preserve">Stats. 2017, ch. 291 (AB 410), § 3.5</t>
  </si>
  <si>
    <t xml:space="preserve">2017-06-01</t>
  </si>
  <si>
    <t xml:space="preserve">NRS history note '(Added to NRS by 1977, 556; A 1991, 1583; 1999, 2512; 2003, 20th Special Session, 303; 2005, 1148; 2011, 1027; 2017, 1541)'. The NRS 482 page was revised 9/9/2026. Statutes of Nevada 2017 ch. 291 (AB 410), approved 6/1/2017, § 6: 'This act becomes effective upon passage and approval'.</t>
  </si>
  <si>
    <t xml:space="preserve">N.Y. Veh. &amp; Traf. Law § 465</t>
  </si>
  <si>
    <t xml:space="preserve">L.2024, ch. 301 (A4066-B / S5085-C)</t>
  </si>
  <si>
    <t xml:space="preserve">2024-09-04</t>
  </si>
  <si>
    <t xml:space="preserve">Assembly bill history: '09/04/2024 signed chap.301'; bill § 2 'shall take effect immediately'. nysenate.gov and the mirror show no history note, so the enactment year of Art. 17-A (believed 1983) is unverified. PENDING, NOT LAW: 2025-26 A8773 (passed Assembly 6/1/2026) / S8360 (Senate Transportation).</t>
  </si>
  <si>
    <t xml:space="preserve">H.B. 96 (136th General Assembly)</t>
  </si>
  <si>
    <t xml:space="preserve">2025-09-30</t>
  </si>
  <si>
    <t xml:space="preserve">codes.ohio.gov: 'Effective: September 30, 2025; Latest Legislation: House Bill 96 - 136th General Assembly'. Prior versions: S.B. 204 (eff. 9/10/2010) and S.B. 242 (eff. 9/14/2016). Justia's history shows 'Effective Date: 10-22-1987'. The 1980 enactment year is INFERRED: sibling §§ 4517.53, .58, .61-.63 still show 'Effective March 14, 1980, S.B. 206 (113th G.A.)'. Claims/chargeback rules in § 4517.59 were last amended by S.B. 242, eff. 9/14/2016.</t>
  </si>
  <si>
    <t xml:space="preserve">Okla. Stat. tit. 47, § 565(A)(9)(b)</t>
  </si>
  <si>
    <t xml:space="preserve">2025 HB 2158 and HB 2160 (became law without Governor's signature 5/8/2025 and 5/29/2025)</t>
  </si>
  <si>
    <t xml:space="preserve">2025-11-01</t>
  </si>
  <si>
    <t xml:space="preserve">Enrolled act titles ('Section 565, as last amended by Section 7, Chapter 240, O.S.L. 2024') and effective-date sections (HB 2158 § 5, HB 2160 § 9: 'This act shall become effective November 1, 2025'). Bill status pages were checked. The original enactment year was not verified (OSCN blocked). 2026 SB 604 (approved 5/20/2026) amended only §§ 562 and 565.2.</t>
  </si>
  <si>
    <t xml:space="preserve">Or. Laws 2025, ch. 50, § 5 (HB 2127)</t>
  </si>
  <si>
    <t xml:space="preserve">2026-01-01</t>
  </si>
  <si>
    <t xml:space="preserve">ORS 2025 edition history: '[1991 c.609 §3; 1999 c.660 §5; 2013 c.329 §3; 2015 c.584 §4; 2025 c.50 §5]'. HB 2127 has no emergency clause, so it took effect 1/1/2026. HB 2127 § 10: the amendments apply only to franchises entered into or renewed on or after that date. Pre-2026 text compared from the 2023 ORS edition.</t>
  </si>
  <si>
    <t xml:space="preserve">BOVA § 307, 63 P.S. § 818.307</t>
  </si>
  <si>
    <t xml:space="preserve">Act of Oct. 24, 2018, P.L. 816, No. 134 (SB 764)</t>
  </si>
  <si>
    <t xml:space="preserve">2019-10-24</t>
  </si>
  <si>
    <t xml:space="preserve">Official in-text notes: '((4) amended Oct. 24, 2018, P.L.816, No.134)', '((ii) amended Oct. 24, 2018 ...)', '((g) added Oct. 24, 2018 ...)', '(307 renumbered from 9 ...)'. Act 134 § 25: 'This act shall take effect in 365 days' (approved 10/24/2018). Originally § 9 of Act 84 of 1983 (Dec. 22, 1983, P.L. 306). Act 51 of 2026 did not touch § 307. SB 1182 (2025-26) is pending, not law.</t>
  </si>
  <si>
    <t xml:space="preserve">R.I. Gen. Laws § 31-5.1-6</t>
  </si>
  <si>
    <t xml:space="preserve">P.L. 2018, ch. 127 (H 7129) and ch. 266 (S 2754)</t>
  </si>
  <si>
    <t xml:space="preserve">2018-07-02</t>
  </si>
  <si>
    <t xml:space="preserve">P.L. 2026, ch. 180 (S 2347 Sub A) and ch. 179 (H 8213 Sub A), enacted 6/22/2026</t>
  </si>
  <si>
    <t xml:space="preserve">Warranty labor = non-warranty rate x technician's actual punched time. Other changes: CPO warranty added, 90+ days to submit claims, written denial with reasons within 45 days and 45 days to resubmit, burden on the OEM for time-based denials, no unreasonable audits/chargebacks, and distributors and factory branches covered.</t>
  </si>
  <si>
    <t xml:space="preserve">Official history note: 'P.L. 1974, ch. 292, § 1; ... P.L. 2014, ch. 397, § 1; P.L. 2018, ch. 127, § 1; P.L. 2018, ch. 266, § 1.' Public-law pages: ch. 127 and ch. 266 'Enacted 07/02/2018', 'take effect upon passage'. 2026 ch. 179/180: 'Enacted 06/22/2026', 'take effect on October 1, 2026'.</t>
  </si>
  <si>
    <t xml:space="preserve">2021 Act No. 31 (S.510), § 8</t>
  </si>
  <si>
    <t xml:space="preserve">2021-08-04</t>
  </si>
  <si>
    <t xml:space="preserve">Official history: '1962 Code SECTION 46-150.156; 1972 (57) 2419; 2000 Act No. 287, SECTION 3; 2013 Act No. 44, SECTION 4, eff June 7, 2013; 2021 Act No. 31 (S.510), SECTION 8, eff August 4, 2021.' The 2021 act (§ 14) applies to current and future franchises. 2025-26 bills checked (H 3777, H 5242) do not touch § 56-15-60.</t>
  </si>
  <si>
    <t xml:space="preserve">SL 2023, ch 100 (SB 159), §§ 4 and 6 (also added §§ 32-6B-58.2, -58.3)</t>
  </si>
  <si>
    <t xml:space="preserve">Official 'Source:' notes: § 32-6B-58 'SL 1986, ch 250, § 59; ... SL 2023, ch 100, § 4'; § 32-6B-61 'SL 1990, ch 245, § 2; SL 2010, ch 156, § 14; SL 2023, ch 100, § 6'. Session law ch 100 read (signed March 23, 2023; no emergency clause, so SD default July 1 effective date). § 32-6B-61 itself dates from 1990.</t>
  </si>
  <si>
    <t xml:space="preserve">2021 SB 1615, Pub. Ch. 277, § 1 (added subsection (d))</t>
  </si>
  <si>
    <t xml:space="preserve">History line on Justia 2025 mirror ('Acts 1977, ch. 162, § 28; T.C.A., § 59-1722; Acts 2021, ch. 277, § 1'); effective date from official TN General Assembly bill page for SB1615 (GA 112: 'Effective date(s) 07/01/2021'). GA 114 (2025-26) Motor Vehicles subject index shows no bill amending § 55-17-121; 2026 Pub. Ch. 885 amended § 55-17-114 (delivery-failure grounds, eff. 5/5/2026), not warranty.</t>
  </si>
  <si>
    <t xml:space="preserve">Tex. Occ. Code § 2301.402</t>
  </si>
  <si>
    <t xml:space="preserve">Acts 2001, 77th Leg., ch. 1421, § 5 (codification into Occupations Code; §§ 2301.402-.406 never amended since)</t>
  </si>
  <si>
    <t xml:space="preserve">2003-06-01</t>
  </si>
  <si>
    <t xml:space="preserve">Section credits on official chapter file ('Added by Acts 2001, 77th Leg., ch. 1421, Sec. 5, eff. June 1, 2003', no 'Amended by'). 89th Leg. (2025) SB 1917 / HB 3859 (dealer reimbursement rewrite) died (left pending / withdrawn from schedule) per capitol.texas.gov history.</t>
  </si>
  <si>
    <t xml:space="preserve">2023 S.B. 90 'Automobile Franchise Amendments', Laws of Utah 2023, ch. 240</t>
  </si>
  <si>
    <t xml:space="preserve">2023-05-03</t>
  </si>
  <si>
    <t xml:space="preserve">Official section page ('Amended by Chapter 240, 2023 General Session'; current version effective 5/3/2023, re-checked 2026-09-25); enrolled S.B. 90 lists § 13-14-204 'as last amended by Laws of Utah 2022, Chapter 455'. Original enactment year not shown on official page (not determined).</t>
  </si>
  <si>
    <t xml:space="preserve">2025 Acts chs. 546 (HB 1683) and 558 (SB 1308)</t>
  </si>
  <si>
    <t xml:space="preserve">Official history line ('1988, c. 865, § 46.1-550.5:30; ... 2023, cc. 310, 311; 2025, cc. 546, 558'); enrolled ch. 558 PDF (approved March 24, 2025) read, including strike-through; LIS 2026 Title 46.2 updates list does not include § 46.2-1571.</t>
  </si>
  <si>
    <t xml:space="preserve">9 V.S.A. § 4086</t>
  </si>
  <si>
    <t xml:space="preserve">2021, No. 63, § 3 (S.47)</t>
  </si>
  <si>
    <t xml:space="preserve">2021-06-07</t>
  </si>
  <si>
    <t xml:space="preserve">Section credit on official site: 'Added 1981, No. 157 (Adj. Sess.), § 1, eff. April 14, 1982; amended 1989, No. 217 (Adj. Sess.); 2009, No. 57, § 1, eff. June 1, 2009; 2021, No. 63, § 3, eff. June 7, 2021.' No later act found.</t>
  </si>
  <si>
    <t xml:space="preserve">RCW 46.96.105</t>
  </si>
  <si>
    <t xml:space="preserve">2014 c 214 s 6</t>
  </si>
  <si>
    <t xml:space="preserve">2014-06-12</t>
  </si>
  <si>
    <t xml:space="preserve">Official RCW history '[2014 c 214 s 6; 2010 c 178 s 4; 2003 c 21 s 2; 1998 c 298 s 1.]'; 2014 c 214 s 9 application note (RCW 46.70.045) references June 12, 2014. Later acts (2024 c 87; 2026 c 186) amended other sections.</t>
  </si>
  <si>
    <t xml:space="preserve">2017 Wis. Act 235, § 2 (amended sub. (7) cross-reference only)</t>
  </si>
  <si>
    <t xml:space="preserve">2018-04-05</t>
  </si>
  <si>
    <t xml:space="preserve">Official history note '1999 a. 31 ss. 114 to 121; 2011 a. 91; 2015 a. 171; 2017 a. 235'. Act 235 page: enacted April 3, 2018, published April 4, 2018; effective day after publication (s. 991.11). 2015 Act 171 amended (3m)(b). 1999 Act 31 renumbered the provision from former s. 218.01.</t>
  </si>
  <si>
    <t xml:space="preserve">2024 SB 173 (Acts 2024, ch. 184)</t>
  </si>
  <si>
    <t xml:space="preserve">2024-06-05</t>
  </si>
  <si>
    <t xml:space="preserve">Official code page bill history (1990 HB4542 ... 2022 HB4560; 2024 SB173; 2023 SB462 listed but not a signed bill); SB 173 status: passed March 7, 2024, approved 3/13/2024, 'Effective Ninety Days from Passage - (June 5, 2024)'. SB 173 also amended § 17A-6A-10.</t>
  </si>
  <si>
    <t xml:space="preserve">2025 SF0106, Enrolled Act No. 44 (amended (b), (d); created (f)-(t))</t>
  </si>
  <si>
    <t xml:space="preserve">Enrolled SF0106 ('Section 2. This act is effective July 1, 2025.'); compared with Justia 2024 text of (d) (resubmission sentence is new). 2025 HB0242 (Enrolled Act 34, eff. 7/1/2025) created § 31-16-124(g) exempting non-house-trailer/semitrailer trailer dealers and manufacturers from § 31-16-117. Official compilation has no section history; original enactment year not determined.</t>
  </si>
  <si>
    <t xml:space="preserve">Check date</t>
  </si>
  <si>
    <t xml:space="preserve">Headline</t>
  </si>
  <si>
    <t xml:space="preserve">Category</t>
  </si>
  <si>
    <t xml:space="preserve">Bill / act</t>
  </si>
  <si>
    <t xml:space="preserve">Effective</t>
  </si>
  <si>
    <t xml:space="preserve">Summary</t>
  </si>
  <si>
    <t xml:space="preserve">Atlas impact</t>
  </si>
  <si>
    <t xml:space="preserve">Source</t>
  </si>
  <si>
    <t xml:space="preserve">Baseline: 4 enacted changes take effect Oct 1, 2026 (RI, NE, CT, MD); 3 bills still pending (PA, NY, IL)</t>
  </si>
  <si>
    <t xml:space="preserve">enacted_upcoming</t>
  </si>
  <si>
    <t xml:space="preserve">2026 S 2347 Sub A (P.L. 2026, ch. 180) / H 8213 Sub A (P.L. 2026, ch. 179)</t>
  </si>
  <si>
    <t xml:space="preserve">Signed by Governor 06/22/2026 (S 2347 Sub A = Chapter 180; H 8213 Sub A = Chapter 179); takes effect 10/01/2026</t>
  </si>
  <si>
    <t xml:space="preserve">Amends R.I. Gen. Laws § 31-5.1-6 and related sections. Warranty labor is paid at the dealer's non-warranty labor rate multiplied by the ACTUAL time the technician worked.</t>
  </si>
  <si>
    <t xml:space="preserve">Already reflected: date selector switches RI to actual technician time and CPO Required on 10/1/2026.</t>
  </si>
  <si>
    <t xml:space="preserve">https://webserver.rilegislature.gov/PublicLaws/law26/law26180.htm</t>
  </si>
  <si>
    <t xml:space="preserve">LB972 (2026), Sec. 70</t>
  </si>
  <si>
    <t xml:space="preserve">Passed 48-1-0 on 04/10/2026; approved by Governor 04/14/2026. Sec. 84 makes Sec. 70 operative 10/01/2026.</t>
  </si>
  <si>
    <t xml:space="preserve">Sec. 70 adds § 60-1438(7): 'This section does not apply to recreational vehicles.' RVs move to the new Recreational Vehicle Industry Regulation Act. A word diff of Sec.</t>
  </si>
  <si>
    <t xml:space="preserve">Scope only (RVs removed). No change to passenger-vehicle cells.</t>
  </si>
  <si>
    <t xml:space="preserve">https://nebraskalegislature.gov/FloorDocs/109/PDF/Slip/LB972.pdf</t>
  </si>
  <si>
    <t xml:space="preserve">Public Act 26-24 (sSB 413), §§ 20-25</t>
  </si>
  <si>
    <t xml:space="preserve">Signed by Governor 05/27/2026 (per the cga.ct.gov bill status page); §§ 20-25 effective 10/01/2026</t>
  </si>
  <si>
    <t xml:space="preserve">New § 22 covers used vehicles in a dealer's inventory that are under a stop-sale or do-not-drive order for a federal safety or emissions recall.</t>
  </si>
  <si>
    <t xml:space="preserve">Claim rules extend to stop-sale compensation claims. Labor rate and time cells unchanged.</t>
  </si>
  <si>
    <t xml:space="preserve">https://www.cga.ct.gov/2026/ACT/PA/PDF/2026PA-00024-R00SB-00413-PA.PDF</t>
  </si>
  <si>
    <t xml:space="preserve">2026 SB 345 (Chapter 463; cross-filed HB 1214)</t>
  </si>
  <si>
    <t xml:space="preserve">Approved by Governor 05/12/2026 (Chapter 463); effective 10/01/2026</t>
  </si>
  <si>
    <t xml:space="preserve">Procedural, with an indirect effect on warranty. A dealer association or manufacturer association may request an MVA administrative hearing to resolve a dispute or to get an interpretation of the franchise law, which includes the § 15-212 warranty rules.</t>
  </si>
  <si>
    <t xml:space="preserve">Procedural (association hearings). No change to § 15-212 cells.</t>
  </si>
  <si>
    <t xml:space="preserve">https://mgaleg.maryland.gov/mgawebsite/Legislation/Details/sb0345?ys=2026RS</t>
  </si>
  <si>
    <t xml:space="preserve">enacted_recent</t>
  </si>
  <si>
    <t xml:space="preserve">2026 HB 648 (2026 Ky. Acts ch. 83), amending KRS 190.046</t>
  </si>
  <si>
    <t xml:space="preserve">Signed by Governor 04/10/2026 (Acts Ch. 83); the official KRS 190.046 page shows 'Effective: July 15, 2026'</t>
  </si>
  <si>
    <t xml:space="preserve">Rewrites KRS 190.046(2)(d) for vehicles in Class 7 and above (49 C.F.R. 565.15, heavy trucks) and makes component manufacturers liable. Parts are paid at acquisition cost plus a 30% gross margin.</t>
  </si>
  <si>
    <t xml:space="preserve">Class 7+ heavy trucks only; noted in KY record. Light-duty cells unchanged.</t>
  </si>
  <si>
    <t xml:space="preserve">https://apps.legislature.ky.gov/record/26rs/hb648.html</t>
  </si>
  <si>
    <t xml:space="preserve">pending</t>
  </si>
  <si>
    <t xml:space="preserve">SB 1182 (2025-26), PN 1866</t>
  </si>
  <si>
    <t xml:space="preserve">Passed Senate 50-0 on 06/30/2026; referred to House COMMERCE Committee 07/01/2026; no House action since. The 2025-26 session ends 11/30/2026 and the bill dies if not enacted.</t>
  </si>
  <si>
    <t xml:space="preserve">Would amend Board of Vehicles Act § 307 to expressly cover extended warranty, CPO warranty, manufacturer-sponsored maintenance programs, parts-exchange programs and 'a service contract issued by a manufacturer or distributor or its common entity'.</t>
  </si>
  <si>
    <t xml:space="preserve">Watch only. If enacted, PA service-contract and CPO cells would change.</t>
  </si>
  <si>
    <t xml:space="preserve">https://www.palegis.us/legislation/bills/2025/sb1182</t>
  </si>
  <si>
    <t xml:space="preserve">A8773 (Magnarelli) / S8360 (Cooney), 2025-26</t>
  </si>
  <si>
    <t xml:space="preserve">A8773 passed the Assembly 06/01/2026, went to the Senate and was referred to Senate RULES the same day. S8360 has been in Senate TRANSPORTATION since 01/07/2026. The Senate has not acted; the bills die 12/31/2026.</t>
  </si>
  <si>
    <t xml:space="preserve">Would amend VTL § 465 to cover affiliates and subsidiaries and to list 'extended service contract repairs', 'component part warranties' and 'any other franchisor compensated repairs'.</t>
  </si>
  <si>
    <t xml:space="preserve">Watch only. If enacted, NY paid-hours rules would add 1.5× and actual-time fallbacks.</t>
  </si>
  <si>
    <t xml:space="preserve">https://nyassembly.gov/leg/?default_fld=&amp;leg_video=&amp;bn=A08773&amp;term=2025&amp;Summary=Y&amp;Actions=Y</t>
  </si>
  <si>
    <t xml:space="preserve">SB1939 (104th GA), as amended by Senate Floor Amendments 1-2</t>
  </si>
  <si>
    <t xml:space="preserve">Passed Senate 55-0 on 04/10/2025. In the House it was re-assigned to the Rules Committee on 03/20/2026. It could move in the fall veto session (House session days Nov 17-19 and Dec 1-3, 2026) or the lame-duck session before the 104th GA ends in January 2027.</t>
  </si>
  <si>
    <t xml:space="preserve">Mainly a direct-sales ban: an OEM not licensed to sell direct before 1/1/2022 may not own or operate a dealership or sell direct. It also amends 815 ILCS 710/6.</t>
  </si>
  <si>
    <t xml:space="preserve">Watch only. Mostly a direct-sales bill; parts-markup maintenance definition would change.</t>
  </si>
  <si>
    <t xml:space="preserve">https://www.ilga.gov/Legislation/BillStatus?DocNum=1939&amp;GAID=18&amp;DocTypeID=SB&amp;SessionID=114</t>
  </si>
  <si>
    <t xml:space="preserve">dead_or_stalled</t>
  </si>
  <si>
    <t xml:space="preserve">H4019 (194th General Court), 'An Act to ensure fair compensation for warranty service labor'</t>
  </si>
  <si>
    <t xml:space="preserve">Accompanied a study order (see H5320) on 04/02/2026, which means it is effectively dead. Formal sessions ended 07/31/2026.</t>
  </si>
  <si>
    <t xml:space="preserve">Would have let dealers base warranty labor time on aftermarket or retail time guides. Hearing held 02/04/2026 before the Joint Committee on Consumer Protection and Professional Licensure.</t>
  </si>
  <si>
    <t xml:space="preserve">Effectively dead (study order). No action.</t>
  </si>
  <si>
    <t xml:space="preserve">https://malegislature.gov/Bills/194/H4019/BillHistory</t>
  </si>
  <si>
    <t xml:space="preserve">Week of</t>
  </si>
  <si>
    <t xml:space="preserve">Date</t>
  </si>
  <si>
    <t xml:space="preserve">Title</t>
  </si>
  <si>
    <t xml:space="preserve">Publisher</t>
  </si>
  <si>
    <t xml:space="preserve">Perspective</t>
  </si>
  <si>
    <t xml:space="preserve">States</t>
  </si>
  <si>
    <t xml:space="preserve">Why it matters</t>
  </si>
  <si>
    <t xml:space="preserve">URL</t>
  </si>
  <si>
    <t xml:space="preserve">2026-09-21</t>
  </si>
  <si>
    <t xml:space="preserve">2026-09-18</t>
  </si>
  <si>
    <t xml:space="preserve">Public Act Summary: PA 26-24 (sSB 413), An Act Revising Various Motor Vehicle Statutes ... Concerning ... Automobile Dealers and Manufacturers</t>
  </si>
  <si>
    <t xml:space="preserve">Connecticut General Assembly, Office of Legislative Research</t>
  </si>
  <si>
    <t xml:space="preserve">government</t>
  </si>
  <si>
    <t xml:space="preserve">neutral</t>
  </si>
  <si>
    <t xml:space="preserve">From 10/1/2026 Subaru's recall and warranty claim systems must accept and pay Connecticut used-inventory stop-sale claims on the 30-day/1-year-audit timetable, and may not claw these payments back through chargebacks or incentive programs unless the action applies uniformly to every same-line-make dealer in the state.</t>
  </si>
  <si>
    <t xml:space="preserve">https://www.cga.ct.gov/2026/SUM/PDF/2026SUM00024-R02SB-00413-SUM.PDF</t>
  </si>
  <si>
    <t xml:space="preserve">2026-08-26</t>
  </si>
  <si>
    <t xml:space="preserve">Illinois Board Rules in Favor of Volkswagen and Audi Dealers</t>
  </si>
  <si>
    <t xml:space="preserve">The Times Weekly (republishing the Illinois Automobile Dealers Association statement)</t>
  </si>
  <si>
    <t xml:space="preserve">dealer association</t>
  </si>
  <si>
    <t xml:space="preserve">dealer-side</t>
  </si>
  <si>
    <t xml:space="preserve">This is the first board ruling that recovering statutory warranty uplift through per-vehicle or parts-account debits is an illegal surcharge. Subaru should confirm that nothing in its Illinois pricing or charge structure is tied to warranty reimbursement, and should watch for the same argument under other anti-cost-recovery statutes, such as RI § 31-5.1-6(g).</t>
  </si>
  <si>
    <t xml:space="preserve">https://thetimesweekly.com/2026/08/illinois-board-rules-in-favor-of-volkswagen-and-audi-dealers/</t>
  </si>
  <si>
    <t xml:space="preserve">2026-07-21</t>
  </si>
  <si>
    <t xml:space="preserve">Big Issues in a Little State: Rhode Island Takes on Warranty Reimbursement and Con Law</t>
  </si>
  <si>
    <t xml:space="preserve">Nelson Mullins Riley &amp; Scarborough LLP (Driving Forward blog)</t>
  </si>
  <si>
    <t xml:space="preserve">law firm alert</t>
  </si>
  <si>
    <t xml:space="preserve">manufacturer-side</t>
  </si>
  <si>
    <t xml:space="preserve">It explains the first statute that pays warranty labor on actual technician time for all line-makes. From 10/1/2026 Subaru must adjust Rhode Island claim intake and audit to take time-punch evidence and carry the burden of proof on time disallowances.</t>
  </si>
  <si>
    <t xml:space="preserve">https://www.nelsonmullins.com/insights/blogs/driving-forward-developments-in-transportation-law-and-innovation/all/big-issues-in-a-little-state-rhode-island-takes-on-warranty-reimbursement-and-con-law</t>
  </si>
</sst>
</file>

<file path=xl/styles.xml><?xml version="1.0" encoding="utf-8"?>
<styleSheet xmlns="http://schemas.openxmlformats.org/spreadsheetml/2006/main">
  <numFmts count="1">
    <numFmt numFmtId="164" formatCode="General"/>
  </numFmts>
  <fonts count="8">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name val="Arial"/>
      <family val="0"/>
      <charset val="1"/>
    </font>
    <font>
      <b val="true"/>
      <sz val="10"/>
      <name val="Arial"/>
      <family val="0"/>
      <charset val="1"/>
    </font>
    <font>
      <b val="true"/>
      <sz val="10"/>
      <color rgb="FFFFFFFF"/>
      <name val="Arial"/>
      <family val="0"/>
      <charset val="1"/>
    </font>
  </fonts>
  <fills count="3">
    <fill>
      <patternFill patternType="none"/>
    </fill>
    <fill>
      <patternFill patternType="gray125"/>
    </fill>
    <fill>
      <patternFill patternType="solid">
        <fgColor rgb="FF142943"/>
        <bgColor rgb="FF333333"/>
      </patternFill>
    </fill>
  </fills>
  <borders count="2">
    <border diagonalUp="false" diagonalDown="false">
      <left/>
      <right/>
      <top/>
      <bottom/>
      <diagonal/>
    </border>
    <border diagonalUp="false" diagonalDown="false">
      <left/>
      <right/>
      <top/>
      <bottom style="thin">
        <color rgb="FF9FB0C5"/>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2" borderId="0" xfId="0" applyFont="true" applyBorder="false" applyAlignment="true" applyProtection="false">
      <alignment horizontal="general" vertical="center"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142943"/>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9FB0C5"/>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42943"/>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drawing" Target="../drawings/drawing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30"/>
  </cols>
  <sheetData>
    <row r="1" customFormat="false" ht="17.3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2"/>
    </row>
    <row r="4" customFormat="false" ht="15" hidden="false" customHeight="false" outlineLevel="0" collapsed="false">
      <c r="A4" s="3" t="s">
        <v>2</v>
      </c>
    </row>
    <row r="5" customFormat="false" ht="15" hidden="false" customHeight="false" outlineLevel="0" collapsed="false">
      <c r="A5" s="2" t="s">
        <v>3</v>
      </c>
    </row>
    <row r="6" customFormat="false" ht="15" hidden="false" customHeight="false" outlineLevel="0" collapsed="false">
      <c r="A6" s="2" t="s">
        <v>4</v>
      </c>
    </row>
    <row r="7" customFormat="false" ht="15" hidden="false" customHeight="false" outlineLevel="0" collapsed="false">
      <c r="A7" s="2" t="s">
        <v>5</v>
      </c>
    </row>
    <row r="8" customFormat="false" ht="15" hidden="false" customHeight="false" outlineLevel="0" collapsed="false">
      <c r="A8" s="2" t="s">
        <v>6</v>
      </c>
    </row>
    <row r="9" customFormat="false" ht="15" hidden="false" customHeight="false" outlineLevel="0" collapsed="false">
      <c r="A9" s="2" t="s">
        <v>7</v>
      </c>
    </row>
    <row r="10" customFormat="false" ht="15" hidden="false" customHeight="false" outlineLevel="0" collapsed="false">
      <c r="A10" s="2" t="s">
        <v>8</v>
      </c>
    </row>
    <row r="11" customFormat="false" ht="15" hidden="false" customHeight="false" outlineLevel="0" collapsed="false">
      <c r="A11" s="2"/>
    </row>
    <row r="12" customFormat="false" ht="15" hidden="false" customHeight="false" outlineLevel="0" collapsed="false">
      <c r="A12" s="3" t="s">
        <v>9</v>
      </c>
    </row>
    <row r="13" customFormat="false" ht="15" hidden="false" customHeight="false" outlineLevel="0" collapsed="false">
      <c r="A13" s="2" t="s">
        <v>10</v>
      </c>
    </row>
    <row r="14" customFormat="false" ht="15" hidden="false" customHeight="false" outlineLevel="0" collapsed="false">
      <c r="A14" s="2" t="s">
        <v>11</v>
      </c>
    </row>
    <row r="15" customFormat="false" ht="15" hidden="false" customHeight="false" outlineLevel="0" collapsed="false">
      <c r="A15" s="2" t="s">
        <v>12</v>
      </c>
    </row>
    <row r="16" customFormat="false" ht="15" hidden="false" customHeight="false" outlineLevel="0" collapsed="false">
      <c r="A16" s="2"/>
    </row>
    <row r="17" customFormat="false" ht="15" hidden="false" customHeight="false" outlineLevel="0" collapsed="false">
      <c r="A17" s="3" t="s">
        <v>13</v>
      </c>
    </row>
    <row r="18" customFormat="false" ht="23.85" hidden="false" customHeight="false" outlineLevel="0" collapsed="false">
      <c r="A18" s="2" t="s">
        <v>14</v>
      </c>
    </row>
    <row r="19" customFormat="false" ht="15" hidden="false" customHeight="false" outlineLevel="0" collapsed="false">
      <c r="A19" s="2" t="s">
        <v>15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5"/>
    <col collapsed="false" customWidth="true" hidden="false" outlineLevel="0" max="3" min="3" style="0" width="30"/>
    <col collapsed="false" customWidth="true" hidden="false" outlineLevel="0" max="4" min="4" style="0" width="16"/>
    <col collapsed="false" customWidth="true" hidden="false" outlineLevel="0" max="5" min="5" style="0" width="14"/>
    <col collapsed="false" customWidth="true" hidden="false" outlineLevel="0" max="6" min="6" style="0" width="16"/>
    <col collapsed="false" customWidth="true" hidden="false" outlineLevel="0" max="7" min="7" style="0" width="11"/>
    <col collapsed="false" customWidth="true" hidden="false" outlineLevel="0" max="8" min="8" style="0" width="12"/>
    <col collapsed="false" customWidth="true" hidden="false" outlineLevel="0" max="9" min="9" style="0" width="10"/>
    <col collapsed="false" customWidth="true" hidden="false" outlineLevel="0" max="10" min="10" style="0" width="12"/>
    <col collapsed="false" customWidth="true" hidden="false" outlineLevel="0" max="11" min="11" style="0" width="22"/>
    <col collapsed="false" customWidth="true" hidden="false" outlineLevel="0" max="12" min="12" style="0" width="34"/>
    <col collapsed="false" customWidth="true" hidden="false" outlineLevel="0" max="13" min="13" style="0" width="11"/>
    <col collapsed="false" customWidth="true" hidden="false" outlineLevel="0" max="14" min="14" style="0" width="12"/>
    <col collapsed="false" customWidth="true" hidden="false" outlineLevel="0" max="15" min="15" style="0" width="18"/>
    <col collapsed="false" customWidth="true" hidden="false" outlineLevel="0" max="16" min="16" style="0" width="26"/>
    <col collapsed="false" customWidth="true" hidden="false" outlineLevel="0" max="17" min="17" style="0" width="12"/>
    <col collapsed="false" customWidth="true" hidden="false" outlineLevel="0" max="18" min="18" style="0" width="11"/>
    <col collapsed="false" customWidth="true" hidden="false" outlineLevel="0" max="20" min="20" style="0" width="32"/>
    <col collapsed="false" customWidth="true" hidden="false" outlineLevel="0" max="21" min="21" style="0" width="8"/>
  </cols>
  <sheetData>
    <row r="1" customFormat="false" ht="31.5" hidden="false" customHeight="true" outlineLevel="0" collapsed="false">
      <c r="A1" s="4" t="s">
        <v>16</v>
      </c>
      <c r="B1" s="4" t="s">
        <v>17</v>
      </c>
      <c r="C1" s="4" t="s">
        <v>18</v>
      </c>
      <c r="D1" s="4" t="s">
        <v>19</v>
      </c>
      <c r="E1" s="4" t="s">
        <v>20</v>
      </c>
      <c r="F1" s="4" t="s">
        <v>21</v>
      </c>
      <c r="G1" s="4" t="s">
        <v>22</v>
      </c>
      <c r="H1" s="4" t="s">
        <v>23</v>
      </c>
      <c r="I1" s="4" t="s">
        <v>24</v>
      </c>
      <c r="J1" s="4" t="s">
        <v>25</v>
      </c>
      <c r="K1" s="4" t="s">
        <v>26</v>
      </c>
      <c r="L1" s="4" t="s">
        <v>27</v>
      </c>
      <c r="M1" s="4" t="s">
        <v>28</v>
      </c>
      <c r="N1" s="4" t="s">
        <v>29</v>
      </c>
      <c r="O1" s="4" t="s">
        <v>30</v>
      </c>
      <c r="P1" s="4" t="s">
        <v>31</v>
      </c>
      <c r="Q1" s="4" t="s">
        <v>32</v>
      </c>
      <c r="R1" s="4" t="s">
        <v>33</v>
      </c>
      <c r="T1" s="5" t="s">
        <v>34</v>
      </c>
    </row>
    <row r="2" customFormat="false" ht="35.05" hidden="false" customHeight="false" outlineLevel="0" collapsed="false">
      <c r="A2" s="6" t="s">
        <v>35</v>
      </c>
      <c r="B2" s="6" t="s">
        <v>36</v>
      </c>
      <c r="C2" s="6" t="s">
        <v>37</v>
      </c>
      <c r="D2" s="6" t="s">
        <v>38</v>
      </c>
      <c r="E2" s="6" t="s">
        <v>39</v>
      </c>
      <c r="F2" s="6" t="s">
        <v>38</v>
      </c>
      <c r="G2" s="6" t="n">
        <v>30</v>
      </c>
      <c r="H2" s="6" t="s">
        <v>40</v>
      </c>
      <c r="I2" s="6" t="n">
        <v>30</v>
      </c>
      <c r="J2" s="6" t="n">
        <v>12</v>
      </c>
      <c r="K2" s="6" t="s">
        <v>41</v>
      </c>
      <c r="L2" s="6" t="s">
        <v>42</v>
      </c>
      <c r="M2" s="6" t="n">
        <v>30</v>
      </c>
      <c r="N2" s="6" t="s">
        <v>40</v>
      </c>
      <c r="O2" s="6" t="s">
        <v>43</v>
      </c>
      <c r="P2" s="6"/>
      <c r="Q2" s="6" t="s">
        <v>44</v>
      </c>
      <c r="R2" s="6" t="s">
        <v>45</v>
      </c>
      <c r="T2" s="7" t="s">
        <v>46</v>
      </c>
      <c r="U2" s="7" t="n">
        <f aca="false">COUNTIF($D$2:$D$51,"Required")</f>
        <v>4</v>
      </c>
    </row>
    <row r="3" customFormat="false" ht="23.85" hidden="false" customHeight="false" outlineLevel="0" collapsed="false">
      <c r="A3" s="6" t="s">
        <v>47</v>
      </c>
      <c r="B3" s="6" t="s">
        <v>48</v>
      </c>
      <c r="C3" s="6" t="s">
        <v>49</v>
      </c>
      <c r="D3" s="6" t="s">
        <v>39</v>
      </c>
      <c r="E3" s="6" t="s">
        <v>50</v>
      </c>
      <c r="F3" s="6" t="s">
        <v>39</v>
      </c>
      <c r="G3" s="6" t="n">
        <v>30</v>
      </c>
      <c r="H3" s="6" t="s">
        <v>40</v>
      </c>
      <c r="I3" s="6" t="n">
        <v>30</v>
      </c>
      <c r="J3" s="6" t="n">
        <v>12</v>
      </c>
      <c r="K3" s="6" t="s">
        <v>51</v>
      </c>
      <c r="L3" s="6" t="s">
        <v>52</v>
      </c>
      <c r="M3" s="6" t="n">
        <v>45</v>
      </c>
      <c r="N3" s="6" t="s">
        <v>40</v>
      </c>
      <c r="O3" s="6" t="s">
        <v>53</v>
      </c>
      <c r="P3" s="6"/>
      <c r="Q3" s="6" t="s">
        <v>44</v>
      </c>
      <c r="R3" s="6" t="s">
        <v>45</v>
      </c>
      <c r="T3" s="7" t="s">
        <v>54</v>
      </c>
      <c r="U3" s="7" t="n">
        <f aca="false">COUNTIF($D$2:$D$51,"Conditional")</f>
        <v>9</v>
      </c>
    </row>
    <row r="4" customFormat="false" ht="23.85" hidden="false" customHeight="false" outlineLevel="0" collapsed="false">
      <c r="A4" s="6" t="s">
        <v>55</v>
      </c>
      <c r="B4" s="6" t="s">
        <v>56</v>
      </c>
      <c r="C4" s="6" t="s">
        <v>49</v>
      </c>
      <c r="D4" s="6" t="s">
        <v>39</v>
      </c>
      <c r="E4" s="6" t="s">
        <v>39</v>
      </c>
      <c r="F4" s="6" t="s">
        <v>39</v>
      </c>
      <c r="G4" s="6" t="n">
        <v>30</v>
      </c>
      <c r="H4" s="6" t="s">
        <v>40</v>
      </c>
      <c r="I4" s="6" t="n">
        <v>30</v>
      </c>
      <c r="J4" s="6" t="n">
        <v>12</v>
      </c>
      <c r="K4" s="6" t="s">
        <v>57</v>
      </c>
      <c r="L4" s="6" t="s">
        <v>52</v>
      </c>
      <c r="M4" s="6" t="n">
        <v>45</v>
      </c>
      <c r="N4" s="6" t="s">
        <v>40</v>
      </c>
      <c r="O4" s="6" t="s">
        <v>58</v>
      </c>
      <c r="P4" s="6"/>
      <c r="Q4" s="6" t="s">
        <v>44</v>
      </c>
      <c r="R4" s="6" t="s">
        <v>59</v>
      </c>
      <c r="T4" s="7" t="s">
        <v>60</v>
      </c>
      <c r="U4" s="7" t="n">
        <f aca="false">COUNTIF($E$2:$E$51,"Required")</f>
        <v>8</v>
      </c>
    </row>
    <row r="5" customFormat="false" ht="23.85" hidden="false" customHeight="false" outlineLevel="0" collapsed="false">
      <c r="A5" s="6" t="s">
        <v>61</v>
      </c>
      <c r="B5" s="6" t="s">
        <v>62</v>
      </c>
      <c r="C5" s="6" t="s">
        <v>49</v>
      </c>
      <c r="D5" s="6" t="s">
        <v>39</v>
      </c>
      <c r="E5" s="6" t="s">
        <v>39</v>
      </c>
      <c r="F5" s="6" t="s">
        <v>39</v>
      </c>
      <c r="G5" s="6" t="n">
        <v>30</v>
      </c>
      <c r="H5" s="6" t="s">
        <v>40</v>
      </c>
      <c r="I5" s="6" t="n">
        <v>30</v>
      </c>
      <c r="J5" s="6" t="n">
        <v>12</v>
      </c>
      <c r="K5" s="6" t="s">
        <v>63</v>
      </c>
      <c r="L5" s="6" t="s">
        <v>52</v>
      </c>
      <c r="M5" s="6" t="n">
        <v>30</v>
      </c>
      <c r="N5" s="6" t="s">
        <v>40</v>
      </c>
      <c r="O5" s="6" t="s">
        <v>64</v>
      </c>
      <c r="P5" s="6"/>
      <c r="Q5" s="6" t="s">
        <v>44</v>
      </c>
      <c r="R5" s="6" t="s">
        <v>45</v>
      </c>
      <c r="T5" s="7" t="s">
        <v>65</v>
      </c>
      <c r="U5" s="7" t="n">
        <f aca="false">COUNTIF($E$2:$E$51,"Conditional")</f>
        <v>8</v>
      </c>
    </row>
    <row r="6" customFormat="false" ht="23.85" hidden="false" customHeight="false" outlineLevel="0" collapsed="false">
      <c r="A6" s="6" t="s">
        <v>66</v>
      </c>
      <c r="B6" s="6" t="s">
        <v>67</v>
      </c>
      <c r="C6" s="6" t="s">
        <v>49</v>
      </c>
      <c r="D6" s="6" t="s">
        <v>39</v>
      </c>
      <c r="E6" s="6" t="s">
        <v>50</v>
      </c>
      <c r="F6" s="6" t="s">
        <v>39</v>
      </c>
      <c r="G6" s="6" t="n">
        <v>30</v>
      </c>
      <c r="H6" s="6" t="s">
        <v>40</v>
      </c>
      <c r="I6" s="6" t="n">
        <v>30</v>
      </c>
      <c r="J6" s="6" t="n">
        <v>9</v>
      </c>
      <c r="K6" s="6" t="s">
        <v>68</v>
      </c>
      <c r="L6" s="6" t="s">
        <v>52</v>
      </c>
      <c r="M6" s="6" t="n">
        <v>30</v>
      </c>
      <c r="N6" s="6" t="s">
        <v>40</v>
      </c>
      <c r="O6" s="6" t="s">
        <v>69</v>
      </c>
      <c r="P6" s="6"/>
      <c r="Q6" s="6" t="s">
        <v>44</v>
      </c>
      <c r="R6" s="6" t="s">
        <v>45</v>
      </c>
      <c r="T6" s="7" t="s">
        <v>70</v>
      </c>
      <c r="U6" s="7" t="n">
        <f aca="false">COUNTIF($F$2:$F$51,"Conditional")</f>
        <v>3</v>
      </c>
    </row>
    <row r="7" customFormat="false" ht="46.25" hidden="false" customHeight="false" outlineLevel="0" collapsed="false">
      <c r="A7" s="6" t="s">
        <v>71</v>
      </c>
      <c r="B7" s="6" t="s">
        <v>72</v>
      </c>
      <c r="C7" s="6" t="s">
        <v>49</v>
      </c>
      <c r="D7" s="6" t="s">
        <v>39</v>
      </c>
      <c r="E7" s="6" t="s">
        <v>50</v>
      </c>
      <c r="F7" s="6" t="s">
        <v>39</v>
      </c>
      <c r="G7" s="6"/>
      <c r="H7" s="6" t="s">
        <v>57</v>
      </c>
      <c r="I7" s="6"/>
      <c r="J7" s="6" t="n">
        <v>9</v>
      </c>
      <c r="K7" s="6" t="s">
        <v>73</v>
      </c>
      <c r="L7" s="6" t="s">
        <v>74</v>
      </c>
      <c r="M7" s="6" t="n">
        <v>45</v>
      </c>
      <c r="N7" s="6" t="s">
        <v>40</v>
      </c>
      <c r="O7" s="6" t="s">
        <v>75</v>
      </c>
      <c r="P7" s="6"/>
      <c r="Q7" s="6" t="s">
        <v>44</v>
      </c>
      <c r="R7" s="6" t="s">
        <v>59</v>
      </c>
      <c r="T7" s="7" t="s">
        <v>76</v>
      </c>
      <c r="U7" s="7" t="n">
        <f aca="false">COUNTIF($H$2:$H$51,"Yes")</f>
        <v>35</v>
      </c>
    </row>
    <row r="8" customFormat="false" ht="35.05" hidden="false" customHeight="false" outlineLevel="0" collapsed="false">
      <c r="A8" s="6" t="s">
        <v>77</v>
      </c>
      <c r="B8" s="6" t="s">
        <v>78</v>
      </c>
      <c r="C8" s="6" t="s">
        <v>49</v>
      </c>
      <c r="D8" s="6" t="s">
        <v>39</v>
      </c>
      <c r="E8" s="6" t="s">
        <v>39</v>
      </c>
      <c r="F8" s="6" t="s">
        <v>39</v>
      </c>
      <c r="G8" s="6" t="n">
        <v>30</v>
      </c>
      <c r="H8" s="6" t="s">
        <v>40</v>
      </c>
      <c r="I8" s="6" t="n">
        <v>30</v>
      </c>
      <c r="J8" s="6" t="n">
        <v>12</v>
      </c>
      <c r="K8" s="6" t="s">
        <v>79</v>
      </c>
      <c r="L8" s="6" t="s">
        <v>80</v>
      </c>
      <c r="M8" s="6" t="n">
        <v>30</v>
      </c>
      <c r="N8" s="6" t="s">
        <v>40</v>
      </c>
      <c r="O8" s="6" t="s">
        <v>81</v>
      </c>
      <c r="P8" s="6" t="s">
        <v>82</v>
      </c>
      <c r="Q8" s="6" t="s">
        <v>44</v>
      </c>
      <c r="R8" s="6" t="s">
        <v>45</v>
      </c>
      <c r="T8" s="7" t="s">
        <v>83</v>
      </c>
      <c r="U8" s="7" t="n">
        <f aca="false">COUNTIF($J$2:$J$51,12)</f>
        <v>37</v>
      </c>
    </row>
    <row r="9" customFormat="false" ht="23.85" hidden="false" customHeight="false" outlineLevel="0" collapsed="false">
      <c r="A9" s="6" t="s">
        <v>84</v>
      </c>
      <c r="B9" s="6" t="s">
        <v>85</v>
      </c>
      <c r="C9" s="6" t="s">
        <v>49</v>
      </c>
      <c r="D9" s="6" t="s">
        <v>50</v>
      </c>
      <c r="E9" s="6" t="s">
        <v>50</v>
      </c>
      <c r="F9" s="6" t="s">
        <v>39</v>
      </c>
      <c r="G9" s="6" t="n">
        <v>30</v>
      </c>
      <c r="H9" s="6" t="s">
        <v>40</v>
      </c>
      <c r="I9" s="6" t="n">
        <v>30</v>
      </c>
      <c r="J9" s="6" t="n">
        <v>6</v>
      </c>
      <c r="K9" s="6" t="s">
        <v>86</v>
      </c>
      <c r="L9" s="6" t="s">
        <v>52</v>
      </c>
      <c r="M9" s="6" t="n">
        <v>30</v>
      </c>
      <c r="N9" s="6" t="s">
        <v>40</v>
      </c>
      <c r="O9" s="6" t="s">
        <v>87</v>
      </c>
      <c r="P9" s="6"/>
      <c r="Q9" s="6" t="s">
        <v>44</v>
      </c>
      <c r="R9" s="6" t="s">
        <v>45</v>
      </c>
      <c r="T9" s="7" t="s">
        <v>88</v>
      </c>
      <c r="U9" s="7" t="n">
        <f aca="false">COUNTIFS($J$2:$J$51,"&lt;12",$J$2:$J$51,"&gt;0")</f>
        <v>11</v>
      </c>
    </row>
    <row r="10" customFormat="false" ht="35.05" hidden="false" customHeight="false" outlineLevel="0" collapsed="false">
      <c r="A10" s="6" t="s">
        <v>89</v>
      </c>
      <c r="B10" s="6" t="s">
        <v>90</v>
      </c>
      <c r="C10" s="6" t="s">
        <v>49</v>
      </c>
      <c r="D10" s="6" t="s">
        <v>91</v>
      </c>
      <c r="E10" s="6" t="s">
        <v>91</v>
      </c>
      <c r="F10" s="6" t="s">
        <v>38</v>
      </c>
      <c r="G10" s="6"/>
      <c r="H10" s="6" t="s">
        <v>57</v>
      </c>
      <c r="I10" s="6" t="n">
        <v>30</v>
      </c>
      <c r="J10" s="6" t="n">
        <v>12</v>
      </c>
      <c r="K10" s="6" t="s">
        <v>92</v>
      </c>
      <c r="L10" s="6" t="s">
        <v>80</v>
      </c>
      <c r="M10" s="6" t="n">
        <v>30</v>
      </c>
      <c r="N10" s="6" t="s">
        <v>57</v>
      </c>
      <c r="O10" s="6" t="s">
        <v>93</v>
      </c>
      <c r="P10" s="6"/>
      <c r="Q10" s="6" t="s">
        <v>44</v>
      </c>
      <c r="R10" s="6" t="s">
        <v>45</v>
      </c>
      <c r="T10" s="7" t="s">
        <v>29</v>
      </c>
      <c r="U10" s="7" t="n">
        <f aca="false">COUNTIF($N$2:$N$51,"Yes")</f>
        <v>28</v>
      </c>
    </row>
    <row r="11" customFormat="false" ht="46.25" hidden="false" customHeight="false" outlineLevel="0" collapsed="false">
      <c r="A11" s="6" t="s">
        <v>94</v>
      </c>
      <c r="B11" s="6" t="s">
        <v>95</v>
      </c>
      <c r="C11" s="6" t="s">
        <v>49</v>
      </c>
      <c r="D11" s="6" t="s">
        <v>91</v>
      </c>
      <c r="E11" s="6" t="s">
        <v>39</v>
      </c>
      <c r="F11" s="6" t="s">
        <v>38</v>
      </c>
      <c r="G11" s="6" t="n">
        <v>30</v>
      </c>
      <c r="H11" s="6" t="s">
        <v>40</v>
      </c>
      <c r="I11" s="6" t="n">
        <v>30</v>
      </c>
      <c r="J11" s="6" t="n">
        <v>12</v>
      </c>
      <c r="K11" s="6" t="s">
        <v>96</v>
      </c>
      <c r="L11" s="6" t="s">
        <v>52</v>
      </c>
      <c r="M11" s="6" t="n">
        <v>30</v>
      </c>
      <c r="N11" s="6" t="s">
        <v>57</v>
      </c>
      <c r="O11" s="6" t="s">
        <v>97</v>
      </c>
      <c r="P11" s="6"/>
      <c r="Q11" s="6" t="s">
        <v>44</v>
      </c>
      <c r="R11" s="6" t="s">
        <v>59</v>
      </c>
      <c r="T11" s="7" t="s">
        <v>98</v>
      </c>
      <c r="U11" s="7" t="n">
        <f aca="false">COUNTIF($P$2:$P$51,"?*")</f>
        <v>3</v>
      </c>
    </row>
    <row r="12" customFormat="false" ht="23.85" hidden="false" customHeight="false" outlineLevel="0" collapsed="false">
      <c r="A12" s="6" t="s">
        <v>99</v>
      </c>
      <c r="B12" s="6" t="s">
        <v>100</v>
      </c>
      <c r="C12" s="6" t="s">
        <v>101</v>
      </c>
      <c r="D12" s="6" t="s">
        <v>39</v>
      </c>
      <c r="E12" s="6" t="s">
        <v>39</v>
      </c>
      <c r="F12" s="6" t="s">
        <v>39</v>
      </c>
      <c r="G12" s="6" t="n">
        <v>30</v>
      </c>
      <c r="H12" s="6" t="s">
        <v>40</v>
      </c>
      <c r="I12" s="6" t="n">
        <v>30</v>
      </c>
      <c r="J12" s="6" t="n">
        <v>12</v>
      </c>
      <c r="K12" s="6" t="s">
        <v>57</v>
      </c>
      <c r="L12" s="6" t="s">
        <v>42</v>
      </c>
      <c r="M12" s="6"/>
      <c r="N12" s="6" t="s">
        <v>57</v>
      </c>
      <c r="O12" s="6" t="s">
        <v>102</v>
      </c>
      <c r="P12" s="6"/>
      <c r="Q12" s="6" t="s">
        <v>44</v>
      </c>
      <c r="R12" s="6" t="s">
        <v>45</v>
      </c>
    </row>
    <row r="13" customFormat="false" ht="23.85" hidden="false" customHeight="false" outlineLevel="0" collapsed="false">
      <c r="A13" s="6" t="s">
        <v>103</v>
      </c>
      <c r="B13" s="6" t="s">
        <v>104</v>
      </c>
      <c r="C13" s="6" t="s">
        <v>49</v>
      </c>
      <c r="D13" s="6" t="s">
        <v>39</v>
      </c>
      <c r="E13" s="6" t="s">
        <v>39</v>
      </c>
      <c r="F13" s="6" t="s">
        <v>39</v>
      </c>
      <c r="G13" s="6" t="n">
        <v>30</v>
      </c>
      <c r="H13" s="6" t="s">
        <v>40</v>
      </c>
      <c r="I13" s="6" t="n">
        <v>30</v>
      </c>
      <c r="J13" s="6" t="n">
        <v>12</v>
      </c>
      <c r="K13" s="6" t="s">
        <v>105</v>
      </c>
      <c r="L13" s="6" t="s">
        <v>52</v>
      </c>
      <c r="M13" s="6"/>
      <c r="N13" s="6" t="s">
        <v>57</v>
      </c>
      <c r="O13" s="6" t="s">
        <v>106</v>
      </c>
      <c r="P13" s="6"/>
      <c r="Q13" s="6" t="s">
        <v>44</v>
      </c>
      <c r="R13" s="6" t="s">
        <v>45</v>
      </c>
    </row>
    <row r="14" customFormat="false" ht="23.85" hidden="false" customHeight="false" outlineLevel="0" collapsed="false">
      <c r="A14" s="6" t="s">
        <v>107</v>
      </c>
      <c r="B14" s="6" t="s">
        <v>108</v>
      </c>
      <c r="C14" s="6" t="s">
        <v>49</v>
      </c>
      <c r="D14" s="6" t="s">
        <v>39</v>
      </c>
      <c r="E14" s="6" t="s">
        <v>39</v>
      </c>
      <c r="F14" s="6" t="s">
        <v>39</v>
      </c>
      <c r="G14" s="6" t="n">
        <v>30</v>
      </c>
      <c r="H14" s="6" t="s">
        <v>40</v>
      </c>
      <c r="I14" s="6" t="n">
        <v>30</v>
      </c>
      <c r="J14" s="6" t="n">
        <v>12</v>
      </c>
      <c r="K14" s="6" t="s">
        <v>109</v>
      </c>
      <c r="L14" s="6" t="s">
        <v>52</v>
      </c>
      <c r="M14" s="6" t="n">
        <v>30</v>
      </c>
      <c r="N14" s="6" t="s">
        <v>40</v>
      </c>
      <c r="O14" s="6" t="s">
        <v>110</v>
      </c>
      <c r="P14" s="6"/>
      <c r="Q14" s="6" t="s">
        <v>44</v>
      </c>
      <c r="R14" s="6" t="s">
        <v>45</v>
      </c>
    </row>
    <row r="15" customFormat="false" ht="46.25" hidden="false" customHeight="false" outlineLevel="0" collapsed="false">
      <c r="A15" s="6" t="s">
        <v>111</v>
      </c>
      <c r="B15" s="6" t="s">
        <v>112</v>
      </c>
      <c r="C15" s="6" t="s">
        <v>113</v>
      </c>
      <c r="D15" s="6" t="s">
        <v>91</v>
      </c>
      <c r="E15" s="6" t="s">
        <v>91</v>
      </c>
      <c r="F15" s="6" t="s">
        <v>39</v>
      </c>
      <c r="G15" s="6" t="n">
        <v>30</v>
      </c>
      <c r="H15" s="6" t="s">
        <v>40</v>
      </c>
      <c r="I15" s="6" t="n">
        <v>30</v>
      </c>
      <c r="J15" s="6" t="n">
        <v>12</v>
      </c>
      <c r="K15" s="6" t="s">
        <v>114</v>
      </c>
      <c r="L15" s="6" t="s">
        <v>115</v>
      </c>
      <c r="M15" s="6"/>
      <c r="N15" s="6" t="s">
        <v>57</v>
      </c>
      <c r="O15" s="6" t="s">
        <v>116</v>
      </c>
      <c r="P15" s="6"/>
      <c r="Q15" s="6" t="s">
        <v>44</v>
      </c>
      <c r="R15" s="6" t="s">
        <v>45</v>
      </c>
    </row>
    <row r="16" customFormat="false" ht="68.65" hidden="false" customHeight="false" outlineLevel="0" collapsed="false">
      <c r="A16" s="6" t="s">
        <v>117</v>
      </c>
      <c r="B16" s="6" t="s">
        <v>118</v>
      </c>
      <c r="C16" s="6" t="s">
        <v>101</v>
      </c>
      <c r="D16" s="6" t="s">
        <v>39</v>
      </c>
      <c r="E16" s="6" t="s">
        <v>39</v>
      </c>
      <c r="F16" s="6" t="s">
        <v>39</v>
      </c>
      <c r="G16" s="6" t="n">
        <v>30</v>
      </c>
      <c r="H16" s="6" t="s">
        <v>57</v>
      </c>
      <c r="I16" s="6" t="n">
        <v>30</v>
      </c>
      <c r="J16" s="6" t="n">
        <v>12</v>
      </c>
      <c r="K16" s="6" t="s">
        <v>119</v>
      </c>
      <c r="L16" s="6" t="s">
        <v>120</v>
      </c>
      <c r="M16" s="6" t="n">
        <v>60</v>
      </c>
      <c r="N16" s="6" t="s">
        <v>40</v>
      </c>
      <c r="O16" s="6" t="s">
        <v>97</v>
      </c>
      <c r="P16" s="6"/>
      <c r="Q16" s="6" t="s">
        <v>44</v>
      </c>
      <c r="R16" s="6" t="s">
        <v>45</v>
      </c>
    </row>
    <row r="17" customFormat="false" ht="23.85" hidden="false" customHeight="false" outlineLevel="0" collapsed="false">
      <c r="A17" s="6" t="s">
        <v>121</v>
      </c>
      <c r="B17" s="6" t="s">
        <v>122</v>
      </c>
      <c r="C17" s="6" t="s">
        <v>101</v>
      </c>
      <c r="D17" s="6" t="s">
        <v>39</v>
      </c>
      <c r="E17" s="6" t="s">
        <v>39</v>
      </c>
      <c r="F17" s="6" t="s">
        <v>39</v>
      </c>
      <c r="G17" s="6" t="n">
        <v>30</v>
      </c>
      <c r="H17" s="6" t="s">
        <v>40</v>
      </c>
      <c r="I17" s="6" t="n">
        <v>30</v>
      </c>
      <c r="J17" s="6" t="n">
        <v>12</v>
      </c>
      <c r="K17" s="6" t="s">
        <v>105</v>
      </c>
      <c r="L17" s="6" t="s">
        <v>52</v>
      </c>
      <c r="M17" s="6"/>
      <c r="N17" s="6" t="s">
        <v>57</v>
      </c>
      <c r="O17" s="6" t="s">
        <v>123</v>
      </c>
      <c r="P17" s="6"/>
      <c r="Q17" s="6" t="s">
        <v>44</v>
      </c>
      <c r="R17" s="6" t="s">
        <v>45</v>
      </c>
    </row>
    <row r="18" customFormat="false" ht="23.85" hidden="false" customHeight="false" outlineLevel="0" collapsed="false">
      <c r="A18" s="6" t="s">
        <v>124</v>
      </c>
      <c r="B18" s="6" t="s">
        <v>125</v>
      </c>
      <c r="C18" s="6" t="s">
        <v>49</v>
      </c>
      <c r="D18" s="6" t="s">
        <v>39</v>
      </c>
      <c r="E18" s="6" t="s">
        <v>39</v>
      </c>
      <c r="F18" s="6" t="s">
        <v>39</v>
      </c>
      <c r="G18" s="6" t="n">
        <v>30</v>
      </c>
      <c r="H18" s="6" t="s">
        <v>40</v>
      </c>
      <c r="I18" s="6" t="n">
        <v>30</v>
      </c>
      <c r="J18" s="6" t="n">
        <v>12</v>
      </c>
      <c r="K18" s="6" t="s">
        <v>57</v>
      </c>
      <c r="L18" s="6" t="s">
        <v>42</v>
      </c>
      <c r="M18" s="6"/>
      <c r="N18" s="6" t="s">
        <v>57</v>
      </c>
      <c r="O18" s="6" t="s">
        <v>126</v>
      </c>
      <c r="P18" s="6"/>
      <c r="Q18" s="6" t="s">
        <v>44</v>
      </c>
      <c r="R18" s="6" t="s">
        <v>45</v>
      </c>
    </row>
    <row r="19" customFormat="false" ht="35.05" hidden="false" customHeight="false" outlineLevel="0" collapsed="false">
      <c r="A19" s="6" t="s">
        <v>127</v>
      </c>
      <c r="B19" s="6" t="s">
        <v>128</v>
      </c>
      <c r="C19" s="6" t="s">
        <v>49</v>
      </c>
      <c r="D19" s="6" t="s">
        <v>39</v>
      </c>
      <c r="E19" s="6" t="s">
        <v>50</v>
      </c>
      <c r="F19" s="6" t="s">
        <v>39</v>
      </c>
      <c r="G19" s="6" t="n">
        <v>30</v>
      </c>
      <c r="H19" s="6" t="s">
        <v>57</v>
      </c>
      <c r="I19" s="6" t="n">
        <v>30</v>
      </c>
      <c r="J19" s="6" t="n">
        <v>12</v>
      </c>
      <c r="K19" s="6" t="s">
        <v>129</v>
      </c>
      <c r="L19" s="6" t="s">
        <v>52</v>
      </c>
      <c r="M19" s="6" t="n">
        <v>45</v>
      </c>
      <c r="N19" s="6" t="s">
        <v>40</v>
      </c>
      <c r="O19" s="6" t="s">
        <v>130</v>
      </c>
      <c r="P19" s="6"/>
      <c r="Q19" s="6" t="s">
        <v>44</v>
      </c>
      <c r="R19" s="6" t="s">
        <v>45</v>
      </c>
    </row>
    <row r="20" customFormat="false" ht="23.85" hidden="false" customHeight="false" outlineLevel="0" collapsed="false">
      <c r="A20" s="6" t="s">
        <v>131</v>
      </c>
      <c r="B20" s="6" t="s">
        <v>132</v>
      </c>
      <c r="C20" s="6" t="s">
        <v>49</v>
      </c>
      <c r="D20" s="6" t="s">
        <v>91</v>
      </c>
      <c r="E20" s="6" t="s">
        <v>91</v>
      </c>
      <c r="F20" s="6" t="s">
        <v>38</v>
      </c>
      <c r="G20" s="6" t="n">
        <v>30</v>
      </c>
      <c r="H20" s="6" t="s">
        <v>40</v>
      </c>
      <c r="I20" s="6" t="n">
        <v>30</v>
      </c>
      <c r="J20" s="6" t="n">
        <v>12</v>
      </c>
      <c r="K20" s="6" t="s">
        <v>133</v>
      </c>
      <c r="L20" s="6" t="s">
        <v>134</v>
      </c>
      <c r="M20" s="6" t="n">
        <v>30</v>
      </c>
      <c r="N20" s="6" t="s">
        <v>40</v>
      </c>
      <c r="O20" s="6" t="s">
        <v>135</v>
      </c>
      <c r="P20" s="6"/>
      <c r="Q20" s="6" t="s">
        <v>44</v>
      </c>
      <c r="R20" s="6" t="s">
        <v>45</v>
      </c>
    </row>
    <row r="21" customFormat="false" ht="57.45" hidden="false" customHeight="false" outlineLevel="0" collapsed="false">
      <c r="A21" s="6" t="s">
        <v>136</v>
      </c>
      <c r="B21" s="6" t="s">
        <v>137</v>
      </c>
      <c r="C21" s="6" t="s">
        <v>49</v>
      </c>
      <c r="D21" s="6" t="s">
        <v>39</v>
      </c>
      <c r="E21" s="6" t="s">
        <v>39</v>
      </c>
      <c r="F21" s="6" t="s">
        <v>39</v>
      </c>
      <c r="G21" s="6" t="n">
        <v>30</v>
      </c>
      <c r="H21" s="6" t="s">
        <v>40</v>
      </c>
      <c r="I21" s="6" t="n">
        <v>30</v>
      </c>
      <c r="J21" s="6" t="n">
        <v>9</v>
      </c>
      <c r="K21" s="6" t="s">
        <v>138</v>
      </c>
      <c r="L21" s="6" t="s">
        <v>52</v>
      </c>
      <c r="M21" s="6" t="n">
        <v>30</v>
      </c>
      <c r="N21" s="6" t="s">
        <v>40</v>
      </c>
      <c r="O21" s="6" t="s">
        <v>139</v>
      </c>
      <c r="P21" s="6"/>
      <c r="Q21" s="6" t="s">
        <v>44</v>
      </c>
      <c r="R21" s="6" t="s">
        <v>45</v>
      </c>
    </row>
    <row r="22" customFormat="false" ht="23.85" hidden="false" customHeight="false" outlineLevel="0" collapsed="false">
      <c r="A22" s="6" t="s">
        <v>140</v>
      </c>
      <c r="B22" s="6" t="s">
        <v>141</v>
      </c>
      <c r="C22" s="6" t="s">
        <v>101</v>
      </c>
      <c r="D22" s="6" t="s">
        <v>39</v>
      </c>
      <c r="E22" s="6" t="s">
        <v>39</v>
      </c>
      <c r="F22" s="6" t="s">
        <v>39</v>
      </c>
      <c r="G22" s="6" t="n">
        <v>60</v>
      </c>
      <c r="H22" s="6" t="s">
        <v>57</v>
      </c>
      <c r="I22" s="6" t="n">
        <v>60</v>
      </c>
      <c r="J22" s="6"/>
      <c r="K22" s="6" t="s">
        <v>57</v>
      </c>
      <c r="L22" s="6" t="s">
        <v>42</v>
      </c>
      <c r="M22" s="6"/>
      <c r="N22" s="6" t="s">
        <v>57</v>
      </c>
      <c r="O22" s="6" t="s">
        <v>142</v>
      </c>
      <c r="P22" s="6"/>
      <c r="Q22" s="6" t="s">
        <v>44</v>
      </c>
      <c r="R22" s="6" t="s">
        <v>59</v>
      </c>
    </row>
    <row r="23" customFormat="false" ht="23.85" hidden="false" customHeight="false" outlineLevel="0" collapsed="false">
      <c r="A23" s="6" t="s">
        <v>143</v>
      </c>
      <c r="B23" s="6" t="s">
        <v>144</v>
      </c>
      <c r="C23" s="6" t="s">
        <v>49</v>
      </c>
      <c r="D23" s="6" t="s">
        <v>39</v>
      </c>
      <c r="E23" s="6" t="s">
        <v>39</v>
      </c>
      <c r="F23" s="6" t="s">
        <v>39</v>
      </c>
      <c r="G23" s="6" t="n">
        <v>30</v>
      </c>
      <c r="H23" s="6" t="s">
        <v>40</v>
      </c>
      <c r="I23" s="6" t="n">
        <v>30</v>
      </c>
      <c r="J23" s="6" t="n">
        <v>12</v>
      </c>
      <c r="K23" s="6" t="s">
        <v>133</v>
      </c>
      <c r="L23" s="6" t="s">
        <v>52</v>
      </c>
      <c r="M23" s="6" t="n">
        <v>45</v>
      </c>
      <c r="N23" s="6" t="s">
        <v>40</v>
      </c>
      <c r="O23" s="6" t="s">
        <v>145</v>
      </c>
      <c r="P23" s="6"/>
      <c r="Q23" s="6" t="s">
        <v>44</v>
      </c>
      <c r="R23" s="6" t="s">
        <v>45</v>
      </c>
    </row>
    <row r="24" customFormat="false" ht="23.85" hidden="false" customHeight="false" outlineLevel="0" collapsed="false">
      <c r="A24" s="6" t="s">
        <v>146</v>
      </c>
      <c r="B24" s="6" t="s">
        <v>147</v>
      </c>
      <c r="C24" s="6" t="s">
        <v>37</v>
      </c>
      <c r="D24" s="6" t="s">
        <v>39</v>
      </c>
      <c r="E24" s="6" t="s">
        <v>39</v>
      </c>
      <c r="F24" s="6" t="s">
        <v>39</v>
      </c>
      <c r="G24" s="6" t="n">
        <v>30</v>
      </c>
      <c r="H24" s="6" t="s">
        <v>40</v>
      </c>
      <c r="I24" s="6" t="n">
        <v>30</v>
      </c>
      <c r="J24" s="6" t="n">
        <v>12</v>
      </c>
      <c r="K24" s="6" t="s">
        <v>148</v>
      </c>
      <c r="L24" s="6" t="s">
        <v>52</v>
      </c>
      <c r="M24" s="6" t="n">
        <v>30</v>
      </c>
      <c r="N24" s="6" t="s">
        <v>40</v>
      </c>
      <c r="O24" s="6" t="s">
        <v>149</v>
      </c>
      <c r="P24" s="6"/>
      <c r="Q24" s="6" t="s">
        <v>44</v>
      </c>
      <c r="R24" s="6" t="s">
        <v>45</v>
      </c>
    </row>
    <row r="25" customFormat="false" ht="35.05" hidden="false" customHeight="false" outlineLevel="0" collapsed="false">
      <c r="A25" s="6" t="s">
        <v>150</v>
      </c>
      <c r="B25" s="6" t="s">
        <v>151</v>
      </c>
      <c r="C25" s="6" t="s">
        <v>49</v>
      </c>
      <c r="D25" s="6" t="s">
        <v>39</v>
      </c>
      <c r="E25" s="6" t="s">
        <v>39</v>
      </c>
      <c r="F25" s="6" t="s">
        <v>39</v>
      </c>
      <c r="G25" s="6" t="n">
        <v>30</v>
      </c>
      <c r="H25" s="6" t="s">
        <v>40</v>
      </c>
      <c r="I25" s="6" t="n">
        <v>30</v>
      </c>
      <c r="J25" s="6" t="n">
        <v>12</v>
      </c>
      <c r="K25" s="6" t="s">
        <v>152</v>
      </c>
      <c r="L25" s="6" t="s">
        <v>42</v>
      </c>
      <c r="M25" s="6"/>
      <c r="N25" s="6" t="s">
        <v>57</v>
      </c>
      <c r="O25" s="6" t="s">
        <v>153</v>
      </c>
      <c r="P25" s="6"/>
      <c r="Q25" s="6" t="s">
        <v>44</v>
      </c>
      <c r="R25" s="6" t="s">
        <v>45</v>
      </c>
    </row>
    <row r="26" customFormat="false" ht="23.85" hidden="false" customHeight="false" outlineLevel="0" collapsed="false">
      <c r="A26" s="6" t="s">
        <v>154</v>
      </c>
      <c r="B26" s="6" t="s">
        <v>155</v>
      </c>
      <c r="C26" s="6" t="s">
        <v>49</v>
      </c>
      <c r="D26" s="6" t="s">
        <v>39</v>
      </c>
      <c r="E26" s="6" t="s">
        <v>91</v>
      </c>
      <c r="F26" s="6" t="s">
        <v>39</v>
      </c>
      <c r="G26" s="6" t="n">
        <v>30</v>
      </c>
      <c r="H26" s="6" t="s">
        <v>57</v>
      </c>
      <c r="I26" s="6" t="n">
        <v>30</v>
      </c>
      <c r="J26" s="6" t="n">
        <v>12</v>
      </c>
      <c r="K26" s="6" t="s">
        <v>156</v>
      </c>
      <c r="L26" s="6" t="s">
        <v>52</v>
      </c>
      <c r="M26" s="6" t="n">
        <v>45</v>
      </c>
      <c r="N26" s="6" t="s">
        <v>40</v>
      </c>
      <c r="O26" s="6" t="s">
        <v>157</v>
      </c>
      <c r="P26" s="6"/>
      <c r="Q26" s="6" t="s">
        <v>44</v>
      </c>
      <c r="R26" s="6" t="s">
        <v>59</v>
      </c>
    </row>
    <row r="27" customFormat="false" ht="23.85" hidden="false" customHeight="false" outlineLevel="0" collapsed="false">
      <c r="A27" s="6" t="s">
        <v>158</v>
      </c>
      <c r="B27" s="6" t="s">
        <v>159</v>
      </c>
      <c r="C27" s="6" t="s">
        <v>37</v>
      </c>
      <c r="D27" s="6" t="s">
        <v>39</v>
      </c>
      <c r="E27" s="6" t="s">
        <v>50</v>
      </c>
      <c r="F27" s="6" t="s">
        <v>39</v>
      </c>
      <c r="G27" s="6" t="n">
        <v>30</v>
      </c>
      <c r="H27" s="6" t="s">
        <v>57</v>
      </c>
      <c r="I27" s="6" t="n">
        <v>30</v>
      </c>
      <c r="J27" s="6" t="n">
        <v>12</v>
      </c>
      <c r="K27" s="6" t="s">
        <v>160</v>
      </c>
      <c r="L27" s="6" t="s">
        <v>52</v>
      </c>
      <c r="M27" s="6" t="n">
        <v>30</v>
      </c>
      <c r="N27" s="6" t="s">
        <v>40</v>
      </c>
      <c r="O27" s="6" t="s">
        <v>161</v>
      </c>
      <c r="P27" s="6"/>
      <c r="Q27" s="6" t="s">
        <v>44</v>
      </c>
      <c r="R27" s="6" t="s">
        <v>45</v>
      </c>
    </row>
    <row r="28" customFormat="false" ht="23.85" hidden="false" customHeight="false" outlineLevel="0" collapsed="false">
      <c r="A28" s="6" t="s">
        <v>162</v>
      </c>
      <c r="B28" s="6" t="s">
        <v>163</v>
      </c>
      <c r="C28" s="6" t="s">
        <v>49</v>
      </c>
      <c r="D28" s="6" t="s">
        <v>91</v>
      </c>
      <c r="E28" s="6" t="s">
        <v>39</v>
      </c>
      <c r="F28" s="6" t="s">
        <v>39</v>
      </c>
      <c r="G28" s="6" t="n">
        <v>30</v>
      </c>
      <c r="H28" s="6" t="s">
        <v>40</v>
      </c>
      <c r="I28" s="6" t="n">
        <v>30</v>
      </c>
      <c r="J28" s="6" t="n">
        <v>12</v>
      </c>
      <c r="K28" s="6" t="s">
        <v>57</v>
      </c>
      <c r="L28" s="6" t="s">
        <v>134</v>
      </c>
      <c r="M28" s="6" t="n">
        <v>30</v>
      </c>
      <c r="N28" s="6" t="s">
        <v>40</v>
      </c>
      <c r="O28" s="6" t="s">
        <v>97</v>
      </c>
      <c r="P28" s="6"/>
      <c r="Q28" s="6" t="s">
        <v>44</v>
      </c>
      <c r="R28" s="6" t="s">
        <v>45</v>
      </c>
    </row>
    <row r="29" customFormat="false" ht="57.45" hidden="false" customHeight="false" outlineLevel="0" collapsed="false">
      <c r="A29" s="6" t="s">
        <v>164</v>
      </c>
      <c r="B29" s="6" t="s">
        <v>165</v>
      </c>
      <c r="C29" s="6" t="s">
        <v>37</v>
      </c>
      <c r="D29" s="6" t="s">
        <v>50</v>
      </c>
      <c r="E29" s="6" t="s">
        <v>50</v>
      </c>
      <c r="F29" s="6" t="s">
        <v>91</v>
      </c>
      <c r="G29" s="6" t="n">
        <v>30</v>
      </c>
      <c r="H29" s="6" t="s">
        <v>40</v>
      </c>
      <c r="I29" s="6" t="n">
        <v>30</v>
      </c>
      <c r="J29" s="6" t="n">
        <v>12</v>
      </c>
      <c r="K29" s="6" t="s">
        <v>166</v>
      </c>
      <c r="L29" s="6" t="s">
        <v>52</v>
      </c>
      <c r="M29" s="6" t="n">
        <v>30</v>
      </c>
      <c r="N29" s="6" t="s">
        <v>40</v>
      </c>
      <c r="O29" s="6" t="s">
        <v>167</v>
      </c>
      <c r="P29" s="6"/>
      <c r="Q29" s="6" t="s">
        <v>44</v>
      </c>
      <c r="R29" s="6" t="s">
        <v>45</v>
      </c>
    </row>
    <row r="30" customFormat="false" ht="23.85" hidden="false" customHeight="false" outlineLevel="0" collapsed="false">
      <c r="A30" s="6" t="s">
        <v>168</v>
      </c>
      <c r="B30" s="6" t="s">
        <v>169</v>
      </c>
      <c r="C30" s="6" t="s">
        <v>49</v>
      </c>
      <c r="D30" s="6" t="s">
        <v>39</v>
      </c>
      <c r="E30" s="6" t="s">
        <v>39</v>
      </c>
      <c r="F30" s="6" t="s">
        <v>39</v>
      </c>
      <c r="G30" s="6" t="n">
        <v>30</v>
      </c>
      <c r="H30" s="6" t="s">
        <v>40</v>
      </c>
      <c r="I30" s="6" t="n">
        <v>30</v>
      </c>
      <c r="J30" s="6" t="n">
        <v>12</v>
      </c>
      <c r="K30" s="6" t="s">
        <v>57</v>
      </c>
      <c r="L30" s="6" t="s">
        <v>42</v>
      </c>
      <c r="M30" s="6" t="n">
        <v>30</v>
      </c>
      <c r="N30" s="6" t="s">
        <v>57</v>
      </c>
      <c r="O30" s="6" t="s">
        <v>170</v>
      </c>
      <c r="P30" s="6" t="s">
        <v>171</v>
      </c>
      <c r="Q30" s="6" t="s">
        <v>44</v>
      </c>
      <c r="R30" s="6" t="s">
        <v>45</v>
      </c>
    </row>
    <row r="31" customFormat="false" ht="35.05" hidden="false" customHeight="false" outlineLevel="0" collapsed="false">
      <c r="A31" s="6" t="s">
        <v>172</v>
      </c>
      <c r="B31" s="6" t="s">
        <v>173</v>
      </c>
      <c r="C31" s="6" t="s">
        <v>49</v>
      </c>
      <c r="D31" s="6" t="s">
        <v>50</v>
      </c>
      <c r="E31" s="6" t="s">
        <v>50</v>
      </c>
      <c r="F31" s="6" t="s">
        <v>38</v>
      </c>
      <c r="G31" s="6" t="n">
        <v>30</v>
      </c>
      <c r="H31" s="6" t="s">
        <v>40</v>
      </c>
      <c r="I31" s="6" t="n">
        <v>30</v>
      </c>
      <c r="J31" s="6" t="n">
        <v>9</v>
      </c>
      <c r="K31" s="6" t="s">
        <v>174</v>
      </c>
      <c r="L31" s="6" t="s">
        <v>42</v>
      </c>
      <c r="M31" s="6"/>
      <c r="N31" s="6" t="s">
        <v>57</v>
      </c>
      <c r="O31" s="6" t="s">
        <v>175</v>
      </c>
      <c r="P31" s="6"/>
      <c r="Q31" s="6" t="s">
        <v>44</v>
      </c>
      <c r="R31" s="6" t="s">
        <v>45</v>
      </c>
    </row>
    <row r="32" customFormat="false" ht="79.85" hidden="false" customHeight="false" outlineLevel="0" collapsed="false">
      <c r="A32" s="6" t="s">
        <v>176</v>
      </c>
      <c r="B32" s="6" t="s">
        <v>177</v>
      </c>
      <c r="C32" s="6" t="s">
        <v>113</v>
      </c>
      <c r="D32" s="6" t="s">
        <v>91</v>
      </c>
      <c r="E32" s="6" t="s">
        <v>91</v>
      </c>
      <c r="F32" s="6" t="s">
        <v>91</v>
      </c>
      <c r="G32" s="6" t="n">
        <v>30</v>
      </c>
      <c r="H32" s="6" t="s">
        <v>57</v>
      </c>
      <c r="I32" s="6" t="n">
        <v>30</v>
      </c>
      <c r="J32" s="6" t="n">
        <v>12</v>
      </c>
      <c r="K32" s="6" t="s">
        <v>178</v>
      </c>
      <c r="L32" s="6" t="s">
        <v>52</v>
      </c>
      <c r="M32" s="6"/>
      <c r="N32" s="6" t="s">
        <v>40</v>
      </c>
      <c r="O32" s="6" t="s">
        <v>179</v>
      </c>
      <c r="P32" s="6"/>
      <c r="Q32" s="6" t="s">
        <v>44</v>
      </c>
      <c r="R32" s="6" t="s">
        <v>45</v>
      </c>
    </row>
    <row r="33" customFormat="false" ht="35.05" hidden="false" customHeight="false" outlineLevel="0" collapsed="false">
      <c r="A33" s="6" t="s">
        <v>180</v>
      </c>
      <c r="B33" s="6" t="s">
        <v>181</v>
      </c>
      <c r="C33" s="6" t="s">
        <v>101</v>
      </c>
      <c r="D33" s="6" t="s">
        <v>39</v>
      </c>
      <c r="E33" s="6" t="s">
        <v>39</v>
      </c>
      <c r="F33" s="6" t="s">
        <v>39</v>
      </c>
      <c r="G33" s="6" t="n">
        <v>30</v>
      </c>
      <c r="H33" s="6" t="s">
        <v>40</v>
      </c>
      <c r="I33" s="6" t="n">
        <v>30</v>
      </c>
      <c r="J33" s="6" t="n">
        <v>6</v>
      </c>
      <c r="K33" s="6" t="s">
        <v>182</v>
      </c>
      <c r="L33" s="6" t="s">
        <v>52</v>
      </c>
      <c r="M33" s="6"/>
      <c r="N33" s="6" t="s">
        <v>57</v>
      </c>
      <c r="O33" s="6" t="s">
        <v>183</v>
      </c>
      <c r="P33" s="6"/>
      <c r="Q33" s="6" t="s">
        <v>44</v>
      </c>
      <c r="R33" s="6" t="s">
        <v>45</v>
      </c>
    </row>
    <row r="34" customFormat="false" ht="23.85" hidden="false" customHeight="false" outlineLevel="0" collapsed="false">
      <c r="A34" s="6" t="s">
        <v>184</v>
      </c>
      <c r="B34" s="6" t="s">
        <v>185</v>
      </c>
      <c r="C34" s="6" t="s">
        <v>101</v>
      </c>
      <c r="D34" s="6" t="s">
        <v>39</v>
      </c>
      <c r="E34" s="6" t="s">
        <v>39</v>
      </c>
      <c r="F34" s="6" t="s">
        <v>39</v>
      </c>
      <c r="G34" s="6" t="n">
        <v>30</v>
      </c>
      <c r="H34" s="6" t="s">
        <v>57</v>
      </c>
      <c r="I34" s="6" t="n">
        <v>30</v>
      </c>
      <c r="J34" s="6" t="n">
        <v>9</v>
      </c>
      <c r="K34" s="6" t="s">
        <v>57</v>
      </c>
      <c r="L34" s="6" t="s">
        <v>42</v>
      </c>
      <c r="M34" s="6"/>
      <c r="N34" s="6" t="s">
        <v>57</v>
      </c>
      <c r="O34" s="6" t="s">
        <v>186</v>
      </c>
      <c r="P34" s="6"/>
      <c r="Q34" s="6" t="s">
        <v>44</v>
      </c>
      <c r="R34" s="6" t="s">
        <v>45</v>
      </c>
    </row>
    <row r="35" customFormat="false" ht="35.05" hidden="false" customHeight="false" outlineLevel="0" collapsed="false">
      <c r="A35" s="6" t="s">
        <v>187</v>
      </c>
      <c r="B35" s="6" t="s">
        <v>188</v>
      </c>
      <c r="C35" s="6" t="s">
        <v>37</v>
      </c>
      <c r="D35" s="6" t="s">
        <v>50</v>
      </c>
      <c r="E35" s="6" t="s">
        <v>91</v>
      </c>
      <c r="F35" s="6" t="s">
        <v>38</v>
      </c>
      <c r="G35" s="6" t="n">
        <v>30</v>
      </c>
      <c r="H35" s="6" t="s">
        <v>40</v>
      </c>
      <c r="I35" s="6" t="n">
        <v>30</v>
      </c>
      <c r="J35" s="6" t="n">
        <v>12</v>
      </c>
      <c r="K35" s="6" t="s">
        <v>189</v>
      </c>
      <c r="L35" s="6" t="s">
        <v>52</v>
      </c>
      <c r="M35" s="6"/>
      <c r="N35" s="6" t="s">
        <v>40</v>
      </c>
      <c r="O35" s="6" t="s">
        <v>190</v>
      </c>
      <c r="P35" s="6"/>
      <c r="Q35" s="6" t="s">
        <v>44</v>
      </c>
      <c r="R35" s="6" t="s">
        <v>45</v>
      </c>
    </row>
    <row r="36" customFormat="false" ht="23.85" hidden="false" customHeight="false" outlineLevel="0" collapsed="false">
      <c r="A36" s="6" t="s">
        <v>191</v>
      </c>
      <c r="B36" s="6" t="s">
        <v>192</v>
      </c>
      <c r="C36" s="6" t="s">
        <v>49</v>
      </c>
      <c r="D36" s="6" t="s">
        <v>39</v>
      </c>
      <c r="E36" s="6" t="s">
        <v>39</v>
      </c>
      <c r="F36" s="6" t="s">
        <v>39</v>
      </c>
      <c r="G36" s="6" t="n">
        <v>45</v>
      </c>
      <c r="H36" s="6" t="s">
        <v>57</v>
      </c>
      <c r="I36" s="6" t="n">
        <v>30</v>
      </c>
      <c r="J36" s="6" t="n">
        <v>12</v>
      </c>
      <c r="K36" s="6" t="s">
        <v>193</v>
      </c>
      <c r="L36" s="6" t="s">
        <v>120</v>
      </c>
      <c r="M36" s="6" t="n">
        <v>30</v>
      </c>
      <c r="N36" s="6" t="s">
        <v>40</v>
      </c>
      <c r="O36" s="6" t="s">
        <v>194</v>
      </c>
      <c r="P36" s="6"/>
      <c r="Q36" s="6" t="s">
        <v>44</v>
      </c>
      <c r="R36" s="6" t="s">
        <v>45</v>
      </c>
    </row>
    <row r="37" customFormat="false" ht="57.45" hidden="false" customHeight="false" outlineLevel="0" collapsed="false">
      <c r="A37" s="6" t="s">
        <v>195</v>
      </c>
      <c r="B37" s="6" t="s">
        <v>196</v>
      </c>
      <c r="C37" s="6" t="s">
        <v>49</v>
      </c>
      <c r="D37" s="6" t="s">
        <v>39</v>
      </c>
      <c r="E37" s="6" t="s">
        <v>39</v>
      </c>
      <c r="F37" s="6" t="s">
        <v>39</v>
      </c>
      <c r="G37" s="6" t="n">
        <v>30</v>
      </c>
      <c r="H37" s="6" t="s">
        <v>57</v>
      </c>
      <c r="I37" s="6" t="n">
        <v>30</v>
      </c>
      <c r="J37" s="6" t="n">
        <v>12</v>
      </c>
      <c r="K37" s="6" t="s">
        <v>197</v>
      </c>
      <c r="L37" s="6" t="s">
        <v>52</v>
      </c>
      <c r="M37" s="6" t="n">
        <v>45</v>
      </c>
      <c r="N37" s="6" t="s">
        <v>57</v>
      </c>
      <c r="O37" s="6" t="s">
        <v>198</v>
      </c>
      <c r="P37" s="6"/>
      <c r="Q37" s="6" t="s">
        <v>44</v>
      </c>
      <c r="R37" s="6" t="s">
        <v>45</v>
      </c>
    </row>
    <row r="38" customFormat="false" ht="113.4" hidden="false" customHeight="false" outlineLevel="0" collapsed="false">
      <c r="A38" s="6" t="s">
        <v>199</v>
      </c>
      <c r="B38" s="6" t="s">
        <v>200</v>
      </c>
      <c r="C38" s="6" t="s">
        <v>49</v>
      </c>
      <c r="D38" s="6" t="s">
        <v>39</v>
      </c>
      <c r="E38" s="6" t="s">
        <v>39</v>
      </c>
      <c r="F38" s="6" t="s">
        <v>39</v>
      </c>
      <c r="G38" s="6" t="n">
        <v>30</v>
      </c>
      <c r="H38" s="6" t="s">
        <v>40</v>
      </c>
      <c r="I38" s="6" t="n">
        <v>30</v>
      </c>
      <c r="J38" s="6" t="n">
        <v>12</v>
      </c>
      <c r="K38" s="6" t="s">
        <v>201</v>
      </c>
      <c r="L38" s="6" t="s">
        <v>52</v>
      </c>
      <c r="M38" s="6" t="n">
        <v>30</v>
      </c>
      <c r="N38" s="6" t="s">
        <v>40</v>
      </c>
      <c r="O38" s="6" t="s">
        <v>202</v>
      </c>
      <c r="P38" s="6"/>
      <c r="Q38" s="6" t="s">
        <v>44</v>
      </c>
      <c r="R38" s="6" t="s">
        <v>45</v>
      </c>
    </row>
    <row r="39" customFormat="false" ht="23.85" hidden="false" customHeight="false" outlineLevel="0" collapsed="false">
      <c r="A39" s="6" t="s">
        <v>203</v>
      </c>
      <c r="B39" s="6" t="s">
        <v>204</v>
      </c>
      <c r="C39" s="6" t="s">
        <v>49</v>
      </c>
      <c r="D39" s="6" t="s">
        <v>91</v>
      </c>
      <c r="E39" s="6" t="s">
        <v>39</v>
      </c>
      <c r="F39" s="6" t="s">
        <v>91</v>
      </c>
      <c r="G39" s="6" t="n">
        <v>30</v>
      </c>
      <c r="H39" s="6" t="s">
        <v>40</v>
      </c>
      <c r="I39" s="6" t="n">
        <v>30</v>
      </c>
      <c r="J39" s="6" t="n">
        <v>9</v>
      </c>
      <c r="K39" s="6" t="s">
        <v>205</v>
      </c>
      <c r="L39" s="6" t="s">
        <v>52</v>
      </c>
      <c r="M39" s="6" t="n">
        <v>60</v>
      </c>
      <c r="N39" s="6" t="s">
        <v>40</v>
      </c>
      <c r="O39" s="6" t="s">
        <v>206</v>
      </c>
      <c r="P39" s="6"/>
      <c r="Q39" s="6" t="s">
        <v>44</v>
      </c>
      <c r="R39" s="6" t="s">
        <v>45</v>
      </c>
    </row>
    <row r="40" customFormat="false" ht="46.25" hidden="false" customHeight="false" outlineLevel="0" collapsed="false">
      <c r="A40" s="6" t="s">
        <v>207</v>
      </c>
      <c r="B40" s="6" t="s">
        <v>208</v>
      </c>
      <c r="C40" s="6" t="s">
        <v>101</v>
      </c>
      <c r="D40" s="6" t="s">
        <v>39</v>
      </c>
      <c r="E40" s="6" t="s">
        <v>39</v>
      </c>
      <c r="F40" s="6" t="s">
        <v>39</v>
      </c>
      <c r="G40" s="6" t="n">
        <v>30</v>
      </c>
      <c r="H40" s="6" t="s">
        <v>40</v>
      </c>
      <c r="I40" s="6" t="n">
        <v>30</v>
      </c>
      <c r="J40" s="6" t="n">
        <v>12</v>
      </c>
      <c r="K40" s="6" t="s">
        <v>209</v>
      </c>
      <c r="L40" s="6" t="s">
        <v>80</v>
      </c>
      <c r="M40" s="6" t="n">
        <v>30</v>
      </c>
      <c r="N40" s="6" t="s">
        <v>40</v>
      </c>
      <c r="O40" s="6" t="s">
        <v>210</v>
      </c>
      <c r="P40" s="6" t="s">
        <v>211</v>
      </c>
      <c r="Q40" s="6" t="s">
        <v>44</v>
      </c>
      <c r="R40" s="6" t="s">
        <v>45</v>
      </c>
    </row>
    <row r="41" customFormat="false" ht="23.85" hidden="false" customHeight="false" outlineLevel="0" collapsed="false">
      <c r="A41" s="6" t="s">
        <v>212</v>
      </c>
      <c r="B41" s="6" t="s">
        <v>213</v>
      </c>
      <c r="C41" s="6" t="s">
        <v>101</v>
      </c>
      <c r="D41" s="6" t="s">
        <v>39</v>
      </c>
      <c r="E41" s="6" t="s">
        <v>39</v>
      </c>
      <c r="F41" s="6" t="s">
        <v>39</v>
      </c>
      <c r="G41" s="6" t="n">
        <v>30</v>
      </c>
      <c r="H41" s="6" t="s">
        <v>40</v>
      </c>
      <c r="I41" s="6" t="n">
        <v>30</v>
      </c>
      <c r="J41" s="6" t="n">
        <v>12</v>
      </c>
      <c r="K41" s="6" t="s">
        <v>214</v>
      </c>
      <c r="L41" s="6" t="s">
        <v>52</v>
      </c>
      <c r="M41" s="6"/>
      <c r="N41" s="6" t="s">
        <v>57</v>
      </c>
      <c r="O41" s="6" t="s">
        <v>215</v>
      </c>
      <c r="P41" s="6"/>
      <c r="Q41" s="6" t="s">
        <v>44</v>
      </c>
      <c r="R41" s="6" t="s">
        <v>45</v>
      </c>
    </row>
    <row r="42" customFormat="false" ht="23.85" hidden="false" customHeight="false" outlineLevel="0" collapsed="false">
      <c r="A42" s="6" t="s">
        <v>216</v>
      </c>
      <c r="B42" s="6" t="s">
        <v>217</v>
      </c>
      <c r="C42" s="6" t="s">
        <v>49</v>
      </c>
      <c r="D42" s="6" t="s">
        <v>39</v>
      </c>
      <c r="E42" s="6" t="s">
        <v>39</v>
      </c>
      <c r="F42" s="6" t="s">
        <v>39</v>
      </c>
      <c r="G42" s="6" t="n">
        <v>30</v>
      </c>
      <c r="H42" s="6" t="s">
        <v>57</v>
      </c>
      <c r="I42" s="6" t="n">
        <v>30</v>
      </c>
      <c r="J42" s="6" t="n">
        <v>12</v>
      </c>
      <c r="K42" s="6" t="s">
        <v>57</v>
      </c>
      <c r="L42" s="6" t="s">
        <v>42</v>
      </c>
      <c r="M42" s="6"/>
      <c r="N42" s="6" t="s">
        <v>57</v>
      </c>
      <c r="O42" s="6" t="s">
        <v>106</v>
      </c>
      <c r="P42" s="6"/>
      <c r="Q42" s="6" t="s">
        <v>44</v>
      </c>
      <c r="R42" s="6" t="s">
        <v>45</v>
      </c>
    </row>
    <row r="43" customFormat="false" ht="23.85" hidden="false" customHeight="false" outlineLevel="0" collapsed="false">
      <c r="A43" s="6" t="s">
        <v>218</v>
      </c>
      <c r="B43" s="6" t="s">
        <v>219</v>
      </c>
      <c r="C43" s="6" t="s">
        <v>101</v>
      </c>
      <c r="D43" s="6" t="s">
        <v>39</v>
      </c>
      <c r="E43" s="6" t="s">
        <v>39</v>
      </c>
      <c r="F43" s="6" t="s">
        <v>39</v>
      </c>
      <c r="G43" s="6"/>
      <c r="H43" s="6" t="s">
        <v>57</v>
      </c>
      <c r="I43" s="6"/>
      <c r="J43" s="6"/>
      <c r="K43" s="6" t="s">
        <v>57</v>
      </c>
      <c r="L43" s="6" t="s">
        <v>42</v>
      </c>
      <c r="M43" s="6"/>
      <c r="N43" s="6" t="s">
        <v>57</v>
      </c>
      <c r="O43" s="6" t="s">
        <v>157</v>
      </c>
      <c r="P43" s="6"/>
      <c r="Q43" s="6" t="s">
        <v>44</v>
      </c>
      <c r="R43" s="6" t="s">
        <v>59</v>
      </c>
    </row>
    <row r="44" customFormat="false" ht="23.85" hidden="false" customHeight="false" outlineLevel="0" collapsed="false">
      <c r="A44" s="6" t="s">
        <v>220</v>
      </c>
      <c r="B44" s="6" t="s">
        <v>221</v>
      </c>
      <c r="C44" s="6" t="s">
        <v>101</v>
      </c>
      <c r="D44" s="6" t="s">
        <v>39</v>
      </c>
      <c r="E44" s="6" t="s">
        <v>39</v>
      </c>
      <c r="F44" s="6" t="s">
        <v>39</v>
      </c>
      <c r="G44" s="6" t="n">
        <v>30</v>
      </c>
      <c r="H44" s="6" t="s">
        <v>40</v>
      </c>
      <c r="I44" s="6" t="n">
        <v>30</v>
      </c>
      <c r="J44" s="6" t="n">
        <v>12</v>
      </c>
      <c r="K44" s="6" t="s">
        <v>222</v>
      </c>
      <c r="L44" s="6" t="s">
        <v>223</v>
      </c>
      <c r="M44" s="6" t="n">
        <v>60</v>
      </c>
      <c r="N44" s="6" t="s">
        <v>224</v>
      </c>
      <c r="O44" s="6" t="s">
        <v>225</v>
      </c>
      <c r="P44" s="6"/>
      <c r="Q44" s="6" t="s">
        <v>44</v>
      </c>
      <c r="R44" s="6" t="s">
        <v>45</v>
      </c>
    </row>
    <row r="45" customFormat="false" ht="35.05" hidden="false" customHeight="false" outlineLevel="0" collapsed="false">
      <c r="A45" s="6" t="s">
        <v>226</v>
      </c>
      <c r="B45" s="6" t="s">
        <v>227</v>
      </c>
      <c r="C45" s="6" t="s">
        <v>49</v>
      </c>
      <c r="D45" s="6" t="s">
        <v>39</v>
      </c>
      <c r="E45" s="6" t="s">
        <v>39</v>
      </c>
      <c r="F45" s="6" t="s">
        <v>39</v>
      </c>
      <c r="G45" s="6" t="n">
        <v>30</v>
      </c>
      <c r="H45" s="6" t="s">
        <v>40</v>
      </c>
      <c r="I45" s="6" t="n">
        <v>30</v>
      </c>
      <c r="J45" s="6" t="n">
        <v>6</v>
      </c>
      <c r="K45" s="6" t="s">
        <v>228</v>
      </c>
      <c r="L45" s="6" t="s">
        <v>52</v>
      </c>
      <c r="M45" s="6" t="n">
        <v>30</v>
      </c>
      <c r="N45" s="6" t="s">
        <v>40</v>
      </c>
      <c r="O45" s="6" t="s">
        <v>229</v>
      </c>
      <c r="P45" s="6"/>
      <c r="Q45" s="6" t="s">
        <v>44</v>
      </c>
      <c r="R45" s="6" t="s">
        <v>45</v>
      </c>
    </row>
    <row r="46" customFormat="false" ht="23.85" hidden="false" customHeight="false" outlineLevel="0" collapsed="false">
      <c r="A46" s="6" t="s">
        <v>230</v>
      </c>
      <c r="B46" s="6" t="s">
        <v>231</v>
      </c>
      <c r="C46" s="6" t="s">
        <v>101</v>
      </c>
      <c r="D46" s="6" t="s">
        <v>91</v>
      </c>
      <c r="E46" s="6" t="s">
        <v>91</v>
      </c>
      <c r="F46" s="6" t="s">
        <v>39</v>
      </c>
      <c r="G46" s="6" t="n">
        <v>30</v>
      </c>
      <c r="H46" s="6" t="s">
        <v>57</v>
      </c>
      <c r="I46" s="6" t="n">
        <v>30</v>
      </c>
      <c r="J46" s="6" t="n">
        <v>6</v>
      </c>
      <c r="K46" s="6" t="s">
        <v>57</v>
      </c>
      <c r="L46" s="6" t="s">
        <v>232</v>
      </c>
      <c r="M46" s="6"/>
      <c r="N46" s="6" t="s">
        <v>57</v>
      </c>
      <c r="O46" s="6" t="s">
        <v>97</v>
      </c>
      <c r="P46" s="6"/>
      <c r="Q46" s="6" t="s">
        <v>44</v>
      </c>
      <c r="R46" s="6" t="s">
        <v>45</v>
      </c>
    </row>
    <row r="47" customFormat="false" ht="23.85" hidden="false" customHeight="false" outlineLevel="0" collapsed="false">
      <c r="A47" s="6" t="s">
        <v>233</v>
      </c>
      <c r="B47" s="6" t="s">
        <v>234</v>
      </c>
      <c r="C47" s="6" t="s">
        <v>49</v>
      </c>
      <c r="D47" s="6" t="s">
        <v>39</v>
      </c>
      <c r="E47" s="6" t="s">
        <v>39</v>
      </c>
      <c r="F47" s="6" t="s">
        <v>39</v>
      </c>
      <c r="G47" s="6" t="n">
        <v>45</v>
      </c>
      <c r="H47" s="6" t="s">
        <v>40</v>
      </c>
      <c r="I47" s="6" t="n">
        <v>45</v>
      </c>
      <c r="J47" s="6" t="n">
        <v>12</v>
      </c>
      <c r="K47" s="6" t="s">
        <v>57</v>
      </c>
      <c r="L47" s="6" t="s">
        <v>42</v>
      </c>
      <c r="M47" s="6"/>
      <c r="N47" s="6" t="s">
        <v>57</v>
      </c>
      <c r="O47" s="6" t="s">
        <v>235</v>
      </c>
      <c r="P47" s="6"/>
      <c r="Q47" s="6" t="s">
        <v>44</v>
      </c>
      <c r="R47" s="6" t="s">
        <v>45</v>
      </c>
    </row>
    <row r="48" customFormat="false" ht="35.05" hidden="false" customHeight="false" outlineLevel="0" collapsed="false">
      <c r="A48" s="6" t="s">
        <v>236</v>
      </c>
      <c r="B48" s="6" t="s">
        <v>237</v>
      </c>
      <c r="C48" s="6" t="s">
        <v>101</v>
      </c>
      <c r="D48" s="6" t="s">
        <v>39</v>
      </c>
      <c r="E48" s="6" t="s">
        <v>39</v>
      </c>
      <c r="F48" s="6" t="s">
        <v>39</v>
      </c>
      <c r="G48" s="6" t="n">
        <v>30</v>
      </c>
      <c r="H48" s="6" t="s">
        <v>40</v>
      </c>
      <c r="I48" s="6" t="n">
        <v>30</v>
      </c>
      <c r="J48" s="6" t="n">
        <v>9</v>
      </c>
      <c r="K48" s="6" t="s">
        <v>238</v>
      </c>
      <c r="L48" s="6" t="s">
        <v>42</v>
      </c>
      <c r="M48" s="6"/>
      <c r="N48" s="6" t="s">
        <v>57</v>
      </c>
      <c r="O48" s="6" t="s">
        <v>239</v>
      </c>
      <c r="P48" s="6"/>
      <c r="Q48" s="6" t="s">
        <v>44</v>
      </c>
      <c r="R48" s="6" t="s">
        <v>45</v>
      </c>
    </row>
    <row r="49" customFormat="false" ht="35.05" hidden="false" customHeight="false" outlineLevel="0" collapsed="false">
      <c r="A49" s="6" t="s">
        <v>240</v>
      </c>
      <c r="B49" s="6" t="s">
        <v>241</v>
      </c>
      <c r="C49" s="6" t="s">
        <v>242</v>
      </c>
      <c r="D49" s="6" t="s">
        <v>91</v>
      </c>
      <c r="E49" s="6" t="s">
        <v>91</v>
      </c>
      <c r="F49" s="6" t="s">
        <v>39</v>
      </c>
      <c r="G49" s="6" t="n">
        <v>30</v>
      </c>
      <c r="H49" s="6" t="s">
        <v>40</v>
      </c>
      <c r="I49" s="6" t="n">
        <v>30</v>
      </c>
      <c r="J49" s="6" t="n">
        <v>12</v>
      </c>
      <c r="K49" s="6" t="s">
        <v>57</v>
      </c>
      <c r="L49" s="6" t="s">
        <v>243</v>
      </c>
      <c r="M49" s="6" t="n">
        <v>30</v>
      </c>
      <c r="N49" s="6" t="s">
        <v>57</v>
      </c>
      <c r="O49" s="6" t="s">
        <v>244</v>
      </c>
      <c r="P49" s="6"/>
      <c r="Q49" s="6" t="s">
        <v>44</v>
      </c>
      <c r="R49" s="6" t="s">
        <v>45</v>
      </c>
    </row>
    <row r="50" customFormat="false" ht="46.25" hidden="false" customHeight="false" outlineLevel="0" collapsed="false">
      <c r="A50" s="6" t="s">
        <v>245</v>
      </c>
      <c r="B50" s="6" t="s">
        <v>246</v>
      </c>
      <c r="C50" s="6" t="s">
        <v>49</v>
      </c>
      <c r="D50" s="6" t="s">
        <v>39</v>
      </c>
      <c r="E50" s="6" t="s">
        <v>39</v>
      </c>
      <c r="F50" s="6" t="s">
        <v>39</v>
      </c>
      <c r="G50" s="6" t="n">
        <v>30</v>
      </c>
      <c r="H50" s="6" t="s">
        <v>57</v>
      </c>
      <c r="I50" s="6" t="n">
        <v>30</v>
      </c>
      <c r="J50" s="6" t="n">
        <v>12</v>
      </c>
      <c r="K50" s="6" t="s">
        <v>247</v>
      </c>
      <c r="L50" s="6" t="s">
        <v>120</v>
      </c>
      <c r="M50" s="6" t="n">
        <v>30</v>
      </c>
      <c r="N50" s="6" t="s">
        <v>40</v>
      </c>
      <c r="O50" s="6" t="s">
        <v>248</v>
      </c>
      <c r="P50" s="6"/>
      <c r="Q50" s="6" t="s">
        <v>44</v>
      </c>
      <c r="R50" s="6" t="s">
        <v>45</v>
      </c>
    </row>
    <row r="51" customFormat="false" ht="35.05" hidden="false" customHeight="false" outlineLevel="0" collapsed="false">
      <c r="A51" s="6" t="s">
        <v>249</v>
      </c>
      <c r="B51" s="6" t="s">
        <v>250</v>
      </c>
      <c r="C51" s="6" t="s">
        <v>49</v>
      </c>
      <c r="D51" s="6" t="s">
        <v>39</v>
      </c>
      <c r="E51" s="6" t="s">
        <v>39</v>
      </c>
      <c r="F51" s="6" t="s">
        <v>39</v>
      </c>
      <c r="G51" s="6" t="n">
        <v>30</v>
      </c>
      <c r="H51" s="6" t="s">
        <v>40</v>
      </c>
      <c r="I51" s="6" t="n">
        <v>30</v>
      </c>
      <c r="J51" s="6" t="n">
        <v>12</v>
      </c>
      <c r="K51" s="6" t="s">
        <v>251</v>
      </c>
      <c r="L51" s="6" t="s">
        <v>52</v>
      </c>
      <c r="M51" s="6" t="n">
        <v>30</v>
      </c>
      <c r="N51" s="6" t="s">
        <v>40</v>
      </c>
      <c r="O51" s="6" t="s">
        <v>97</v>
      </c>
      <c r="P51" s="6"/>
      <c r="Q51" s="6" t="s">
        <v>44</v>
      </c>
      <c r="R51" s="6" t="s">
        <v>45</v>
      </c>
    </row>
  </sheetData>
  <autoFilter ref="A1:R5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24"/>
    <col collapsed="false" customWidth="true" hidden="false" outlineLevel="0" max="3" min="3" style="0" width="14"/>
    <col collapsed="false" customWidth="true" hidden="false" outlineLevel="0" max="4" min="4" style="0" width="30"/>
    <col collapsed="false" customWidth="true" hidden="false" outlineLevel="0" max="5" min="5" style="0" width="26"/>
    <col collapsed="false" customWidth="true" hidden="false" outlineLevel="0" max="6" min="6" style="0" width="50"/>
    <col collapsed="false" customWidth="true" hidden="false" outlineLevel="0" max="7" min="7" style="0" width="60"/>
    <col collapsed="false" customWidth="true" hidden="false" outlineLevel="0" max="8" min="8" style="0" width="22"/>
    <col collapsed="false" customWidth="true" hidden="false" outlineLevel="0" max="9" min="9" style="0" width="28"/>
    <col collapsed="false" customWidth="true" hidden="false" outlineLevel="0" max="10" min="10" style="0" width="11"/>
    <col collapsed="false" customWidth="true" hidden="false" outlineLevel="0" max="11" min="11" style="0" width="12"/>
    <col collapsed="false" customWidth="true" hidden="false" outlineLevel="0" max="12" min="12" style="0" width="40"/>
  </cols>
  <sheetData>
    <row r="1" customFormat="false" ht="31.5" hidden="false" customHeight="true" outlineLevel="0" collapsed="false">
      <c r="A1" s="4" t="s">
        <v>16</v>
      </c>
      <c r="B1" s="4" t="s">
        <v>252</v>
      </c>
      <c r="C1" s="4" t="s">
        <v>253</v>
      </c>
      <c r="D1" s="4" t="s">
        <v>254</v>
      </c>
      <c r="E1" s="4" t="s">
        <v>255</v>
      </c>
      <c r="F1" s="4" t="s">
        <v>256</v>
      </c>
      <c r="G1" s="4" t="s">
        <v>257</v>
      </c>
      <c r="H1" s="4" t="s">
        <v>258</v>
      </c>
      <c r="I1" s="4" t="s">
        <v>259</v>
      </c>
      <c r="J1" s="4" t="s">
        <v>33</v>
      </c>
      <c r="K1" s="4" t="s">
        <v>260</v>
      </c>
      <c r="L1" s="4" t="s">
        <v>261</v>
      </c>
    </row>
    <row r="2" customFormat="false" ht="91" hidden="false" customHeight="false" outlineLevel="0" collapsed="false">
      <c r="A2" s="6" t="s">
        <v>35</v>
      </c>
      <c r="B2" s="6" t="s">
        <v>262</v>
      </c>
      <c r="C2" s="6" t="s">
        <v>50</v>
      </c>
      <c r="D2" s="6" t="s">
        <v>37</v>
      </c>
      <c r="E2" s="6"/>
      <c r="F2" s="6" t="s">
        <v>263</v>
      </c>
      <c r="G2" s="6" t="s">
        <v>264</v>
      </c>
      <c r="H2" s="6" t="s">
        <v>265</v>
      </c>
      <c r="I2" s="6" t="s">
        <v>266</v>
      </c>
      <c r="J2" s="6" t="s">
        <v>45</v>
      </c>
      <c r="K2" s="6" t="s">
        <v>267</v>
      </c>
      <c r="L2" s="6" t="s">
        <v>268</v>
      </c>
    </row>
    <row r="3" customFormat="false" ht="35.05" hidden="false" customHeight="false" outlineLevel="0" collapsed="false">
      <c r="A3" s="6" t="s">
        <v>35</v>
      </c>
      <c r="B3" s="6" t="s">
        <v>269</v>
      </c>
      <c r="C3" s="6" t="s">
        <v>38</v>
      </c>
      <c r="D3" s="6" t="s">
        <v>270</v>
      </c>
      <c r="E3" s="6"/>
      <c r="F3" s="6"/>
      <c r="G3" s="6" t="s">
        <v>271</v>
      </c>
      <c r="H3" s="6" t="s">
        <v>272</v>
      </c>
      <c r="I3" s="6" t="s">
        <v>266</v>
      </c>
      <c r="J3" s="6" t="s">
        <v>45</v>
      </c>
      <c r="K3" s="6" t="s">
        <v>267</v>
      </c>
      <c r="L3" s="6" t="s">
        <v>268</v>
      </c>
    </row>
    <row r="4" customFormat="false" ht="35.05" hidden="false" customHeight="false" outlineLevel="0" collapsed="false">
      <c r="A4" s="6" t="s">
        <v>35</v>
      </c>
      <c r="B4" s="6" t="s">
        <v>273</v>
      </c>
      <c r="C4" s="6" t="s">
        <v>39</v>
      </c>
      <c r="D4" s="6" t="s">
        <v>270</v>
      </c>
      <c r="E4" s="6"/>
      <c r="F4" s="6"/>
      <c r="G4" s="6" t="s">
        <v>274</v>
      </c>
      <c r="H4" s="6" t="s">
        <v>275</v>
      </c>
      <c r="I4" s="6" t="s">
        <v>266</v>
      </c>
      <c r="J4" s="6" t="s">
        <v>45</v>
      </c>
      <c r="K4" s="6" t="s">
        <v>267</v>
      </c>
      <c r="L4" s="6" t="s">
        <v>268</v>
      </c>
    </row>
    <row r="5" customFormat="false" ht="35.05" hidden="false" customHeight="false" outlineLevel="0" collapsed="false">
      <c r="A5" s="6" t="s">
        <v>35</v>
      </c>
      <c r="B5" s="6" t="s">
        <v>276</v>
      </c>
      <c r="C5" s="6" t="s">
        <v>38</v>
      </c>
      <c r="D5" s="6" t="s">
        <v>270</v>
      </c>
      <c r="E5" s="6"/>
      <c r="F5" s="6"/>
      <c r="G5" s="6" t="s">
        <v>271</v>
      </c>
      <c r="H5" s="6" t="s">
        <v>277</v>
      </c>
      <c r="I5" s="6" t="s">
        <v>266</v>
      </c>
      <c r="J5" s="6" t="s">
        <v>45</v>
      </c>
      <c r="K5" s="6" t="s">
        <v>267</v>
      </c>
      <c r="L5" s="6" t="s">
        <v>268</v>
      </c>
    </row>
    <row r="6" customFormat="false" ht="68.65" hidden="false" customHeight="false" outlineLevel="0" collapsed="false">
      <c r="A6" s="6" t="s">
        <v>47</v>
      </c>
      <c r="B6" s="6" t="s">
        <v>262</v>
      </c>
      <c r="C6" s="6" t="s">
        <v>50</v>
      </c>
      <c r="D6" s="6" t="s">
        <v>49</v>
      </c>
      <c r="E6" s="6"/>
      <c r="F6" s="6" t="s">
        <v>278</v>
      </c>
      <c r="G6" s="6" t="s">
        <v>279</v>
      </c>
      <c r="H6" s="6" t="s">
        <v>280</v>
      </c>
      <c r="I6" s="6" t="s">
        <v>281</v>
      </c>
      <c r="J6" s="6" t="s">
        <v>45</v>
      </c>
      <c r="K6" s="6" t="s">
        <v>267</v>
      </c>
      <c r="L6" s="6" t="s">
        <v>282</v>
      </c>
    </row>
    <row r="7" customFormat="false" ht="23.85" hidden="false" customHeight="false" outlineLevel="0" collapsed="false">
      <c r="A7" s="6" t="s">
        <v>47</v>
      </c>
      <c r="B7" s="6" t="s">
        <v>269</v>
      </c>
      <c r="C7" s="6" t="s">
        <v>39</v>
      </c>
      <c r="D7" s="6" t="s">
        <v>270</v>
      </c>
      <c r="E7" s="6"/>
      <c r="F7" s="6"/>
      <c r="G7" s="6" t="s">
        <v>283</v>
      </c>
      <c r="H7" s="6" t="s">
        <v>284</v>
      </c>
      <c r="I7" s="6" t="s">
        <v>281</v>
      </c>
      <c r="J7" s="6" t="s">
        <v>45</v>
      </c>
      <c r="K7" s="6" t="s">
        <v>267</v>
      </c>
      <c r="L7" s="6" t="s">
        <v>282</v>
      </c>
    </row>
    <row r="8" customFormat="false" ht="23.85" hidden="false" customHeight="false" outlineLevel="0" collapsed="false">
      <c r="A8" s="6" t="s">
        <v>47</v>
      </c>
      <c r="B8" s="6" t="s">
        <v>273</v>
      </c>
      <c r="C8" s="6" t="s">
        <v>50</v>
      </c>
      <c r="D8" s="6" t="s">
        <v>49</v>
      </c>
      <c r="E8" s="6"/>
      <c r="F8" s="6"/>
      <c r="G8" s="6" t="s">
        <v>283</v>
      </c>
      <c r="H8" s="6" t="s">
        <v>284</v>
      </c>
      <c r="I8" s="6" t="s">
        <v>281</v>
      </c>
      <c r="J8" s="6" t="s">
        <v>45</v>
      </c>
      <c r="K8" s="6" t="s">
        <v>267</v>
      </c>
      <c r="L8" s="6" t="s">
        <v>282</v>
      </c>
    </row>
    <row r="9" customFormat="false" ht="23.85" hidden="false" customHeight="false" outlineLevel="0" collapsed="false">
      <c r="A9" s="6" t="s">
        <v>47</v>
      </c>
      <c r="B9" s="6" t="s">
        <v>276</v>
      </c>
      <c r="C9" s="6" t="s">
        <v>39</v>
      </c>
      <c r="D9" s="6" t="s">
        <v>270</v>
      </c>
      <c r="E9" s="6"/>
      <c r="F9" s="6"/>
      <c r="G9" s="6" t="s">
        <v>283</v>
      </c>
      <c r="H9" s="6" t="s">
        <v>284</v>
      </c>
      <c r="I9" s="6" t="s">
        <v>281</v>
      </c>
      <c r="J9" s="6" t="s">
        <v>45</v>
      </c>
      <c r="K9" s="6" t="s">
        <v>267</v>
      </c>
      <c r="L9" s="6" t="s">
        <v>282</v>
      </c>
    </row>
    <row r="10" customFormat="false" ht="79.85" hidden="false" customHeight="false" outlineLevel="0" collapsed="false">
      <c r="A10" s="6" t="s">
        <v>55</v>
      </c>
      <c r="B10" s="6" t="s">
        <v>262</v>
      </c>
      <c r="C10" s="6" t="s">
        <v>50</v>
      </c>
      <c r="D10" s="6" t="s">
        <v>49</v>
      </c>
      <c r="E10" s="6"/>
      <c r="F10" s="6" t="s">
        <v>285</v>
      </c>
      <c r="G10" s="6" t="s">
        <v>286</v>
      </c>
      <c r="H10" s="6" t="s">
        <v>287</v>
      </c>
      <c r="I10" s="6" t="s">
        <v>288</v>
      </c>
      <c r="J10" s="6" t="s">
        <v>59</v>
      </c>
      <c r="K10" s="6" t="s">
        <v>289</v>
      </c>
      <c r="L10" s="6" t="s">
        <v>290</v>
      </c>
    </row>
    <row r="11" customFormat="false" ht="79.85" hidden="false" customHeight="false" outlineLevel="0" collapsed="false">
      <c r="A11" s="6" t="s">
        <v>55</v>
      </c>
      <c r="B11" s="6" t="s">
        <v>269</v>
      </c>
      <c r="C11" s="6" t="s">
        <v>39</v>
      </c>
      <c r="D11" s="6" t="s">
        <v>270</v>
      </c>
      <c r="E11" s="6"/>
      <c r="F11" s="6"/>
      <c r="G11" s="6" t="s">
        <v>291</v>
      </c>
      <c r="H11" s="6" t="s">
        <v>292</v>
      </c>
      <c r="I11" s="6" t="s">
        <v>288</v>
      </c>
      <c r="J11" s="6" t="s">
        <v>59</v>
      </c>
      <c r="K11" s="6" t="s">
        <v>289</v>
      </c>
      <c r="L11" s="6" t="s">
        <v>290</v>
      </c>
    </row>
    <row r="12" customFormat="false" ht="79.85" hidden="false" customHeight="false" outlineLevel="0" collapsed="false">
      <c r="A12" s="6" t="s">
        <v>55</v>
      </c>
      <c r="B12" s="6" t="s">
        <v>273</v>
      </c>
      <c r="C12" s="6" t="s">
        <v>39</v>
      </c>
      <c r="D12" s="6" t="s">
        <v>270</v>
      </c>
      <c r="E12" s="6"/>
      <c r="F12" s="6"/>
      <c r="G12" s="6" t="s">
        <v>291</v>
      </c>
      <c r="H12" s="6" t="s">
        <v>292</v>
      </c>
      <c r="I12" s="6" t="s">
        <v>288</v>
      </c>
      <c r="J12" s="6" t="s">
        <v>59</v>
      </c>
      <c r="K12" s="6" t="s">
        <v>289</v>
      </c>
      <c r="L12" s="6" t="s">
        <v>290</v>
      </c>
    </row>
    <row r="13" customFormat="false" ht="79.85" hidden="false" customHeight="false" outlineLevel="0" collapsed="false">
      <c r="A13" s="6" t="s">
        <v>55</v>
      </c>
      <c r="B13" s="6" t="s">
        <v>276</v>
      </c>
      <c r="C13" s="6" t="s">
        <v>39</v>
      </c>
      <c r="D13" s="6" t="s">
        <v>270</v>
      </c>
      <c r="E13" s="6"/>
      <c r="F13" s="6"/>
      <c r="G13" s="6" t="s">
        <v>291</v>
      </c>
      <c r="H13" s="6" t="s">
        <v>292</v>
      </c>
      <c r="I13" s="6" t="s">
        <v>288</v>
      </c>
      <c r="J13" s="6" t="s">
        <v>59</v>
      </c>
      <c r="K13" s="6" t="s">
        <v>289</v>
      </c>
      <c r="L13" s="6" t="s">
        <v>290</v>
      </c>
    </row>
    <row r="14" customFormat="false" ht="91" hidden="false" customHeight="false" outlineLevel="0" collapsed="false">
      <c r="A14" s="6" t="s">
        <v>61</v>
      </c>
      <c r="B14" s="6" t="s">
        <v>262</v>
      </c>
      <c r="C14" s="6" t="s">
        <v>50</v>
      </c>
      <c r="D14" s="6" t="s">
        <v>49</v>
      </c>
      <c r="E14" s="6"/>
      <c r="F14" s="6" t="s">
        <v>293</v>
      </c>
      <c r="G14" s="6" t="s">
        <v>294</v>
      </c>
      <c r="H14" s="6" t="s">
        <v>295</v>
      </c>
      <c r="I14" s="6" t="s">
        <v>296</v>
      </c>
      <c r="J14" s="6" t="s">
        <v>45</v>
      </c>
      <c r="K14" s="6" t="s">
        <v>267</v>
      </c>
      <c r="L14" s="6" t="s">
        <v>297</v>
      </c>
    </row>
    <row r="15" customFormat="false" ht="46.25" hidden="false" customHeight="false" outlineLevel="0" collapsed="false">
      <c r="A15" s="6" t="s">
        <v>61</v>
      </c>
      <c r="B15" s="6" t="s">
        <v>269</v>
      </c>
      <c r="C15" s="6" t="s">
        <v>39</v>
      </c>
      <c r="D15" s="6" t="s">
        <v>270</v>
      </c>
      <c r="E15" s="6"/>
      <c r="F15" s="6"/>
      <c r="G15" s="6" t="s">
        <v>298</v>
      </c>
      <c r="H15" s="6" t="s">
        <v>299</v>
      </c>
      <c r="I15" s="6" t="s">
        <v>296</v>
      </c>
      <c r="J15" s="6" t="s">
        <v>45</v>
      </c>
      <c r="K15" s="6" t="s">
        <v>267</v>
      </c>
      <c r="L15" s="6" t="s">
        <v>297</v>
      </c>
    </row>
    <row r="16" customFormat="false" ht="46.25" hidden="false" customHeight="false" outlineLevel="0" collapsed="false">
      <c r="A16" s="6" t="s">
        <v>61</v>
      </c>
      <c r="B16" s="6" t="s">
        <v>273</v>
      </c>
      <c r="C16" s="6" t="s">
        <v>39</v>
      </c>
      <c r="D16" s="6" t="s">
        <v>270</v>
      </c>
      <c r="E16" s="6"/>
      <c r="F16" s="6"/>
      <c r="G16" s="6" t="s">
        <v>298</v>
      </c>
      <c r="H16" s="6" t="s">
        <v>299</v>
      </c>
      <c r="I16" s="6" t="s">
        <v>296</v>
      </c>
      <c r="J16" s="6" t="s">
        <v>45</v>
      </c>
      <c r="K16" s="6" t="s">
        <v>267</v>
      </c>
      <c r="L16" s="6" t="s">
        <v>297</v>
      </c>
    </row>
    <row r="17" customFormat="false" ht="46.25" hidden="false" customHeight="false" outlineLevel="0" collapsed="false">
      <c r="A17" s="6" t="s">
        <v>61</v>
      </c>
      <c r="B17" s="6" t="s">
        <v>276</v>
      </c>
      <c r="C17" s="6" t="s">
        <v>39</v>
      </c>
      <c r="D17" s="6" t="s">
        <v>270</v>
      </c>
      <c r="E17" s="6"/>
      <c r="F17" s="6"/>
      <c r="G17" s="6" t="s">
        <v>298</v>
      </c>
      <c r="H17" s="6" t="s">
        <v>299</v>
      </c>
      <c r="I17" s="6" t="s">
        <v>296</v>
      </c>
      <c r="J17" s="6" t="s">
        <v>45</v>
      </c>
      <c r="K17" s="6" t="s">
        <v>267</v>
      </c>
      <c r="L17" s="6" t="s">
        <v>297</v>
      </c>
    </row>
    <row r="18" customFormat="false" ht="79.85" hidden="false" customHeight="false" outlineLevel="0" collapsed="false">
      <c r="A18" s="6" t="s">
        <v>66</v>
      </c>
      <c r="B18" s="6" t="s">
        <v>262</v>
      </c>
      <c r="C18" s="6" t="s">
        <v>50</v>
      </c>
      <c r="D18" s="6" t="s">
        <v>49</v>
      </c>
      <c r="E18" s="6"/>
      <c r="F18" s="6" t="s">
        <v>300</v>
      </c>
      <c r="G18" s="6" t="s">
        <v>301</v>
      </c>
      <c r="H18" s="6" t="s">
        <v>302</v>
      </c>
      <c r="I18" s="6" t="s">
        <v>303</v>
      </c>
      <c r="J18" s="6" t="s">
        <v>45</v>
      </c>
      <c r="K18" s="6" t="s">
        <v>267</v>
      </c>
      <c r="L18" s="6" t="s">
        <v>304</v>
      </c>
    </row>
    <row r="19" customFormat="false" ht="35.05" hidden="false" customHeight="false" outlineLevel="0" collapsed="false">
      <c r="A19" s="6" t="s">
        <v>66</v>
      </c>
      <c r="B19" s="6" t="s">
        <v>269</v>
      </c>
      <c r="C19" s="6" t="s">
        <v>39</v>
      </c>
      <c r="D19" s="6" t="s">
        <v>270</v>
      </c>
      <c r="E19" s="6"/>
      <c r="F19" s="6"/>
      <c r="G19" s="6" t="s">
        <v>305</v>
      </c>
      <c r="H19" s="6" t="s">
        <v>306</v>
      </c>
      <c r="I19" s="6" t="s">
        <v>303</v>
      </c>
      <c r="J19" s="6" t="s">
        <v>45</v>
      </c>
      <c r="K19" s="6" t="s">
        <v>267</v>
      </c>
      <c r="L19" s="6" t="s">
        <v>304</v>
      </c>
    </row>
    <row r="20" customFormat="false" ht="35.05" hidden="false" customHeight="false" outlineLevel="0" collapsed="false">
      <c r="A20" s="6" t="s">
        <v>66</v>
      </c>
      <c r="B20" s="6" t="s">
        <v>273</v>
      </c>
      <c r="C20" s="6" t="s">
        <v>50</v>
      </c>
      <c r="D20" s="6" t="s">
        <v>49</v>
      </c>
      <c r="E20" s="6"/>
      <c r="F20" s="6"/>
      <c r="G20" s="6" t="s">
        <v>307</v>
      </c>
      <c r="H20" s="6" t="s">
        <v>306</v>
      </c>
      <c r="I20" s="6" t="s">
        <v>303</v>
      </c>
      <c r="J20" s="6" t="s">
        <v>45</v>
      </c>
      <c r="K20" s="6" t="s">
        <v>267</v>
      </c>
      <c r="L20" s="6" t="s">
        <v>304</v>
      </c>
    </row>
    <row r="21" customFormat="false" ht="35.05" hidden="false" customHeight="false" outlineLevel="0" collapsed="false">
      <c r="A21" s="6" t="s">
        <v>66</v>
      </c>
      <c r="B21" s="6" t="s">
        <v>276</v>
      </c>
      <c r="C21" s="6" t="s">
        <v>39</v>
      </c>
      <c r="D21" s="6" t="s">
        <v>270</v>
      </c>
      <c r="E21" s="6"/>
      <c r="F21" s="6"/>
      <c r="G21" s="6" t="s">
        <v>305</v>
      </c>
      <c r="H21" s="6" t="s">
        <v>306</v>
      </c>
      <c r="I21" s="6" t="s">
        <v>303</v>
      </c>
      <c r="J21" s="6" t="s">
        <v>45</v>
      </c>
      <c r="K21" s="6" t="s">
        <v>267</v>
      </c>
      <c r="L21" s="6" t="s">
        <v>304</v>
      </c>
    </row>
    <row r="22" customFormat="false" ht="79.85" hidden="false" customHeight="false" outlineLevel="0" collapsed="false">
      <c r="A22" s="6" t="s">
        <v>71</v>
      </c>
      <c r="B22" s="6" t="s">
        <v>262</v>
      </c>
      <c r="C22" s="6" t="s">
        <v>50</v>
      </c>
      <c r="D22" s="6" t="s">
        <v>49</v>
      </c>
      <c r="E22" s="6"/>
      <c r="F22" s="6" t="s">
        <v>308</v>
      </c>
      <c r="G22" s="6" t="s">
        <v>309</v>
      </c>
      <c r="H22" s="6" t="s">
        <v>310</v>
      </c>
      <c r="I22" s="6" t="s">
        <v>311</v>
      </c>
      <c r="J22" s="6" t="s">
        <v>59</v>
      </c>
      <c r="K22" s="6" t="s">
        <v>289</v>
      </c>
      <c r="L22" s="6" t="s">
        <v>312</v>
      </c>
    </row>
    <row r="23" customFormat="false" ht="79.85" hidden="false" customHeight="false" outlineLevel="0" collapsed="false">
      <c r="A23" s="6" t="s">
        <v>71</v>
      </c>
      <c r="B23" s="6" t="s">
        <v>269</v>
      </c>
      <c r="C23" s="6" t="s">
        <v>39</v>
      </c>
      <c r="D23" s="6" t="s">
        <v>270</v>
      </c>
      <c r="E23" s="6"/>
      <c r="F23" s="6"/>
      <c r="G23" s="6" t="s">
        <v>313</v>
      </c>
      <c r="H23" s="6" t="s">
        <v>314</v>
      </c>
      <c r="I23" s="6" t="s">
        <v>311</v>
      </c>
      <c r="J23" s="6" t="s">
        <v>59</v>
      </c>
      <c r="K23" s="6" t="s">
        <v>289</v>
      </c>
      <c r="L23" s="6" t="s">
        <v>312</v>
      </c>
    </row>
    <row r="24" customFormat="false" ht="79.85" hidden="false" customHeight="false" outlineLevel="0" collapsed="false">
      <c r="A24" s="6" t="s">
        <v>71</v>
      </c>
      <c r="B24" s="6" t="s">
        <v>273</v>
      </c>
      <c r="C24" s="6" t="s">
        <v>50</v>
      </c>
      <c r="D24" s="6" t="s">
        <v>49</v>
      </c>
      <c r="E24" s="6"/>
      <c r="F24" s="6"/>
      <c r="G24" s="6" t="s">
        <v>313</v>
      </c>
      <c r="H24" s="6" t="s">
        <v>314</v>
      </c>
      <c r="I24" s="6" t="s">
        <v>311</v>
      </c>
      <c r="J24" s="6" t="s">
        <v>59</v>
      </c>
      <c r="K24" s="6" t="s">
        <v>289</v>
      </c>
      <c r="L24" s="6" t="s">
        <v>312</v>
      </c>
    </row>
    <row r="25" customFormat="false" ht="79.85" hidden="false" customHeight="false" outlineLevel="0" collapsed="false">
      <c r="A25" s="6" t="s">
        <v>71</v>
      </c>
      <c r="B25" s="6" t="s">
        <v>276</v>
      </c>
      <c r="C25" s="6" t="s">
        <v>39</v>
      </c>
      <c r="D25" s="6" t="s">
        <v>270</v>
      </c>
      <c r="E25" s="6"/>
      <c r="F25" s="6"/>
      <c r="G25" s="6" t="s">
        <v>313</v>
      </c>
      <c r="H25" s="6" t="s">
        <v>314</v>
      </c>
      <c r="I25" s="6" t="s">
        <v>311</v>
      </c>
      <c r="J25" s="6" t="s">
        <v>59</v>
      </c>
      <c r="K25" s="6" t="s">
        <v>289</v>
      </c>
      <c r="L25" s="6" t="s">
        <v>312</v>
      </c>
    </row>
    <row r="26" customFormat="false" ht="68.65" hidden="false" customHeight="false" outlineLevel="0" collapsed="false">
      <c r="A26" s="6" t="s">
        <v>77</v>
      </c>
      <c r="B26" s="6" t="s">
        <v>262</v>
      </c>
      <c r="C26" s="6" t="s">
        <v>50</v>
      </c>
      <c r="D26" s="6" t="s">
        <v>49</v>
      </c>
      <c r="E26" s="6"/>
      <c r="F26" s="6" t="s">
        <v>315</v>
      </c>
      <c r="G26" s="6" t="s">
        <v>279</v>
      </c>
      <c r="H26" s="6" t="s">
        <v>316</v>
      </c>
      <c r="I26" s="6" t="s">
        <v>317</v>
      </c>
      <c r="J26" s="6" t="s">
        <v>45</v>
      </c>
      <c r="K26" s="6" t="s">
        <v>267</v>
      </c>
      <c r="L26" s="6" t="s">
        <v>318</v>
      </c>
    </row>
    <row r="27" customFormat="false" ht="57.45" hidden="false" customHeight="false" outlineLevel="0" collapsed="false">
      <c r="A27" s="6" t="s">
        <v>77</v>
      </c>
      <c r="B27" s="6" t="s">
        <v>269</v>
      </c>
      <c r="C27" s="6" t="s">
        <v>39</v>
      </c>
      <c r="D27" s="6" t="s">
        <v>270</v>
      </c>
      <c r="E27" s="6"/>
      <c r="F27" s="6"/>
      <c r="G27" s="6" t="s">
        <v>319</v>
      </c>
      <c r="H27" s="6" t="s">
        <v>320</v>
      </c>
      <c r="I27" s="6" t="s">
        <v>317</v>
      </c>
      <c r="J27" s="6" t="s">
        <v>45</v>
      </c>
      <c r="K27" s="6" t="s">
        <v>267</v>
      </c>
      <c r="L27" s="6" t="s">
        <v>318</v>
      </c>
    </row>
    <row r="28" customFormat="false" ht="57.45" hidden="false" customHeight="false" outlineLevel="0" collapsed="false">
      <c r="A28" s="6" t="s">
        <v>77</v>
      </c>
      <c r="B28" s="6" t="s">
        <v>273</v>
      </c>
      <c r="C28" s="6" t="s">
        <v>39</v>
      </c>
      <c r="D28" s="6" t="s">
        <v>270</v>
      </c>
      <c r="E28" s="6"/>
      <c r="F28" s="6"/>
      <c r="G28" s="6" t="s">
        <v>319</v>
      </c>
      <c r="H28" s="6" t="s">
        <v>320</v>
      </c>
      <c r="I28" s="6" t="s">
        <v>317</v>
      </c>
      <c r="J28" s="6" t="s">
        <v>45</v>
      </c>
      <c r="K28" s="6" t="s">
        <v>267</v>
      </c>
      <c r="L28" s="6" t="s">
        <v>318</v>
      </c>
    </row>
    <row r="29" customFormat="false" ht="57.45" hidden="false" customHeight="false" outlineLevel="0" collapsed="false">
      <c r="A29" s="6" t="s">
        <v>77</v>
      </c>
      <c r="B29" s="6" t="s">
        <v>276</v>
      </c>
      <c r="C29" s="6" t="s">
        <v>39</v>
      </c>
      <c r="D29" s="6" t="s">
        <v>270</v>
      </c>
      <c r="E29" s="6"/>
      <c r="F29" s="6"/>
      <c r="G29" s="6" t="s">
        <v>319</v>
      </c>
      <c r="H29" s="6" t="s">
        <v>320</v>
      </c>
      <c r="I29" s="6" t="s">
        <v>317</v>
      </c>
      <c r="J29" s="6" t="s">
        <v>45</v>
      </c>
      <c r="K29" s="6" t="s">
        <v>267</v>
      </c>
      <c r="L29" s="6" t="s">
        <v>318</v>
      </c>
    </row>
    <row r="30" customFormat="false" ht="91" hidden="false" customHeight="false" outlineLevel="0" collapsed="false">
      <c r="A30" s="6" t="s">
        <v>84</v>
      </c>
      <c r="B30" s="6" t="s">
        <v>262</v>
      </c>
      <c r="C30" s="6" t="s">
        <v>50</v>
      </c>
      <c r="D30" s="6" t="s">
        <v>49</v>
      </c>
      <c r="E30" s="6"/>
      <c r="F30" s="6" t="s">
        <v>321</v>
      </c>
      <c r="G30" s="6" t="s">
        <v>279</v>
      </c>
      <c r="H30" s="6" t="s">
        <v>322</v>
      </c>
      <c r="I30" s="6" t="s">
        <v>323</v>
      </c>
      <c r="J30" s="6" t="s">
        <v>45</v>
      </c>
      <c r="K30" s="6" t="s">
        <v>267</v>
      </c>
      <c r="L30" s="6" t="s">
        <v>324</v>
      </c>
    </row>
    <row r="31" customFormat="false" ht="57.45" hidden="false" customHeight="false" outlineLevel="0" collapsed="false">
      <c r="A31" s="6" t="s">
        <v>84</v>
      </c>
      <c r="B31" s="6" t="s">
        <v>269</v>
      </c>
      <c r="C31" s="6" t="s">
        <v>50</v>
      </c>
      <c r="D31" s="6" t="s">
        <v>49</v>
      </c>
      <c r="E31" s="6"/>
      <c r="F31" s="6"/>
      <c r="G31" s="6" t="s">
        <v>325</v>
      </c>
      <c r="H31" s="6" t="s">
        <v>326</v>
      </c>
      <c r="I31" s="6" t="s">
        <v>323</v>
      </c>
      <c r="J31" s="6" t="s">
        <v>45</v>
      </c>
      <c r="K31" s="6" t="s">
        <v>267</v>
      </c>
      <c r="L31" s="6" t="s">
        <v>324</v>
      </c>
    </row>
    <row r="32" customFormat="false" ht="46.25" hidden="false" customHeight="false" outlineLevel="0" collapsed="false">
      <c r="A32" s="6" t="s">
        <v>84</v>
      </c>
      <c r="B32" s="6" t="s">
        <v>273</v>
      </c>
      <c r="C32" s="6" t="s">
        <v>50</v>
      </c>
      <c r="D32" s="6" t="s">
        <v>49</v>
      </c>
      <c r="E32" s="6"/>
      <c r="F32" s="6"/>
      <c r="G32" s="6" t="s">
        <v>327</v>
      </c>
      <c r="H32" s="6" t="s">
        <v>328</v>
      </c>
      <c r="I32" s="6" t="s">
        <v>323</v>
      </c>
      <c r="J32" s="6" t="s">
        <v>45</v>
      </c>
      <c r="K32" s="6" t="s">
        <v>267</v>
      </c>
      <c r="L32" s="6" t="s">
        <v>324</v>
      </c>
    </row>
    <row r="33" customFormat="false" ht="46.25" hidden="false" customHeight="false" outlineLevel="0" collapsed="false">
      <c r="A33" s="6" t="s">
        <v>84</v>
      </c>
      <c r="B33" s="6" t="s">
        <v>276</v>
      </c>
      <c r="C33" s="6" t="s">
        <v>39</v>
      </c>
      <c r="D33" s="6" t="s">
        <v>270</v>
      </c>
      <c r="E33" s="6"/>
      <c r="F33" s="6"/>
      <c r="G33" s="6" t="s">
        <v>327</v>
      </c>
      <c r="H33" s="6" t="s">
        <v>328</v>
      </c>
      <c r="I33" s="6" t="s">
        <v>323</v>
      </c>
      <c r="J33" s="6" t="s">
        <v>45</v>
      </c>
      <c r="K33" s="6" t="s">
        <v>267</v>
      </c>
      <c r="L33" s="6" t="s">
        <v>324</v>
      </c>
    </row>
    <row r="34" customFormat="false" ht="91" hidden="false" customHeight="false" outlineLevel="0" collapsed="false">
      <c r="A34" s="6" t="s">
        <v>89</v>
      </c>
      <c r="B34" s="6" t="s">
        <v>262</v>
      </c>
      <c r="C34" s="6" t="s">
        <v>50</v>
      </c>
      <c r="D34" s="6" t="s">
        <v>49</v>
      </c>
      <c r="E34" s="6"/>
      <c r="F34" s="6" t="s">
        <v>329</v>
      </c>
      <c r="G34" s="6" t="s">
        <v>330</v>
      </c>
      <c r="H34" s="6" t="s">
        <v>331</v>
      </c>
      <c r="I34" s="6" t="s">
        <v>332</v>
      </c>
      <c r="J34" s="6" t="s">
        <v>45</v>
      </c>
      <c r="K34" s="6" t="s">
        <v>267</v>
      </c>
      <c r="L34" s="6" t="s">
        <v>333</v>
      </c>
    </row>
    <row r="35" customFormat="false" ht="46.25" hidden="false" customHeight="false" outlineLevel="0" collapsed="false">
      <c r="A35" s="6" t="s">
        <v>89</v>
      </c>
      <c r="B35" s="6" t="s">
        <v>269</v>
      </c>
      <c r="C35" s="6" t="s">
        <v>91</v>
      </c>
      <c r="D35" s="6" t="s">
        <v>49</v>
      </c>
      <c r="E35" s="6"/>
      <c r="F35" s="6"/>
      <c r="G35" s="6" t="s">
        <v>334</v>
      </c>
      <c r="H35" s="6" t="s">
        <v>335</v>
      </c>
      <c r="I35" s="6" t="s">
        <v>332</v>
      </c>
      <c r="J35" s="6" t="s">
        <v>45</v>
      </c>
      <c r="K35" s="6" t="s">
        <v>267</v>
      </c>
      <c r="L35" s="6" t="s">
        <v>333</v>
      </c>
    </row>
    <row r="36" customFormat="false" ht="46.25" hidden="false" customHeight="false" outlineLevel="0" collapsed="false">
      <c r="A36" s="6" t="s">
        <v>89</v>
      </c>
      <c r="B36" s="6" t="s">
        <v>273</v>
      </c>
      <c r="C36" s="6" t="s">
        <v>91</v>
      </c>
      <c r="D36" s="6" t="s">
        <v>49</v>
      </c>
      <c r="E36" s="6"/>
      <c r="F36" s="6"/>
      <c r="G36" s="6" t="s">
        <v>334</v>
      </c>
      <c r="H36" s="6" t="s">
        <v>335</v>
      </c>
      <c r="I36" s="6" t="s">
        <v>332</v>
      </c>
      <c r="J36" s="6" t="s">
        <v>45</v>
      </c>
      <c r="K36" s="6" t="s">
        <v>267</v>
      </c>
      <c r="L36" s="6" t="s">
        <v>333</v>
      </c>
    </row>
    <row r="37" customFormat="false" ht="46.25" hidden="false" customHeight="false" outlineLevel="0" collapsed="false">
      <c r="A37" s="6" t="s">
        <v>89</v>
      </c>
      <c r="B37" s="6" t="s">
        <v>276</v>
      </c>
      <c r="C37" s="6" t="s">
        <v>38</v>
      </c>
      <c r="D37" s="6" t="s">
        <v>270</v>
      </c>
      <c r="E37" s="6"/>
      <c r="F37" s="6"/>
      <c r="G37" s="6" t="s">
        <v>334</v>
      </c>
      <c r="H37" s="6" t="s">
        <v>335</v>
      </c>
      <c r="I37" s="6" t="s">
        <v>332</v>
      </c>
      <c r="J37" s="6" t="s">
        <v>45</v>
      </c>
      <c r="K37" s="6" t="s">
        <v>267</v>
      </c>
      <c r="L37" s="6" t="s">
        <v>333</v>
      </c>
    </row>
    <row r="38" customFormat="false" ht="102.2" hidden="false" customHeight="false" outlineLevel="0" collapsed="false">
      <c r="A38" s="6" t="s">
        <v>94</v>
      </c>
      <c r="B38" s="6" t="s">
        <v>262</v>
      </c>
      <c r="C38" s="6" t="s">
        <v>50</v>
      </c>
      <c r="D38" s="6" t="s">
        <v>49</v>
      </c>
      <c r="E38" s="6"/>
      <c r="F38" s="6" t="s">
        <v>336</v>
      </c>
      <c r="G38" s="6" t="s">
        <v>337</v>
      </c>
      <c r="H38" s="6" t="s">
        <v>338</v>
      </c>
      <c r="I38" s="6" t="s">
        <v>339</v>
      </c>
      <c r="J38" s="6" t="s">
        <v>59</v>
      </c>
      <c r="K38" s="6" t="s">
        <v>289</v>
      </c>
      <c r="L38" s="6" t="s">
        <v>340</v>
      </c>
    </row>
    <row r="39" customFormat="false" ht="57.45" hidden="false" customHeight="false" outlineLevel="0" collapsed="false">
      <c r="A39" s="6" t="s">
        <v>94</v>
      </c>
      <c r="B39" s="6" t="s">
        <v>269</v>
      </c>
      <c r="C39" s="6" t="s">
        <v>91</v>
      </c>
      <c r="D39" s="6" t="s">
        <v>49</v>
      </c>
      <c r="E39" s="6"/>
      <c r="F39" s="6"/>
      <c r="G39" s="6" t="s">
        <v>341</v>
      </c>
      <c r="H39" s="6" t="s">
        <v>342</v>
      </c>
      <c r="I39" s="6" t="s">
        <v>339</v>
      </c>
      <c r="J39" s="6" t="s">
        <v>59</v>
      </c>
      <c r="K39" s="6" t="s">
        <v>289</v>
      </c>
      <c r="L39" s="6" t="s">
        <v>340</v>
      </c>
    </row>
    <row r="40" customFormat="false" ht="57.45" hidden="false" customHeight="false" outlineLevel="0" collapsed="false">
      <c r="A40" s="6" t="s">
        <v>94</v>
      </c>
      <c r="B40" s="6" t="s">
        <v>273</v>
      </c>
      <c r="C40" s="6" t="s">
        <v>39</v>
      </c>
      <c r="D40" s="6" t="s">
        <v>270</v>
      </c>
      <c r="E40" s="6"/>
      <c r="F40" s="6"/>
      <c r="G40" s="6" t="s">
        <v>343</v>
      </c>
      <c r="H40" s="6" t="s">
        <v>342</v>
      </c>
      <c r="I40" s="6" t="s">
        <v>339</v>
      </c>
      <c r="J40" s="6" t="s">
        <v>59</v>
      </c>
      <c r="K40" s="6" t="s">
        <v>289</v>
      </c>
      <c r="L40" s="6" t="s">
        <v>340</v>
      </c>
    </row>
    <row r="41" customFormat="false" ht="57.45" hidden="false" customHeight="false" outlineLevel="0" collapsed="false">
      <c r="A41" s="6" t="s">
        <v>94</v>
      </c>
      <c r="B41" s="6" t="s">
        <v>276</v>
      </c>
      <c r="C41" s="6" t="s">
        <v>38</v>
      </c>
      <c r="D41" s="6" t="s">
        <v>270</v>
      </c>
      <c r="E41" s="6"/>
      <c r="F41" s="6"/>
      <c r="G41" s="6" t="s">
        <v>341</v>
      </c>
      <c r="H41" s="6" t="s">
        <v>342</v>
      </c>
      <c r="I41" s="6" t="s">
        <v>339</v>
      </c>
      <c r="J41" s="6" t="s">
        <v>59</v>
      </c>
      <c r="K41" s="6" t="s">
        <v>289</v>
      </c>
      <c r="L41" s="6" t="s">
        <v>340</v>
      </c>
    </row>
    <row r="42" customFormat="false" ht="68.65" hidden="false" customHeight="false" outlineLevel="0" collapsed="false">
      <c r="A42" s="6" t="s">
        <v>99</v>
      </c>
      <c r="B42" s="6" t="s">
        <v>262</v>
      </c>
      <c r="C42" s="6" t="s">
        <v>50</v>
      </c>
      <c r="D42" s="6" t="s">
        <v>101</v>
      </c>
      <c r="E42" s="6"/>
      <c r="F42" s="6" t="s">
        <v>344</v>
      </c>
      <c r="G42" s="6" t="s">
        <v>345</v>
      </c>
      <c r="H42" s="6" t="s">
        <v>346</v>
      </c>
      <c r="I42" s="6" t="s">
        <v>347</v>
      </c>
      <c r="J42" s="6" t="s">
        <v>45</v>
      </c>
      <c r="K42" s="6" t="s">
        <v>267</v>
      </c>
      <c r="L42" s="6" t="s">
        <v>348</v>
      </c>
    </row>
    <row r="43" customFormat="false" ht="68.65" hidden="false" customHeight="false" outlineLevel="0" collapsed="false">
      <c r="A43" s="6" t="s">
        <v>99</v>
      </c>
      <c r="B43" s="6" t="s">
        <v>269</v>
      </c>
      <c r="C43" s="6" t="s">
        <v>39</v>
      </c>
      <c r="D43" s="6" t="s">
        <v>270</v>
      </c>
      <c r="E43" s="6"/>
      <c r="F43" s="6"/>
      <c r="G43" s="6" t="s">
        <v>349</v>
      </c>
      <c r="H43" s="6" t="s">
        <v>346</v>
      </c>
      <c r="I43" s="6" t="s">
        <v>347</v>
      </c>
      <c r="J43" s="6" t="s">
        <v>45</v>
      </c>
      <c r="K43" s="6" t="s">
        <v>267</v>
      </c>
      <c r="L43" s="6" t="s">
        <v>348</v>
      </c>
    </row>
    <row r="44" customFormat="false" ht="68.65" hidden="false" customHeight="false" outlineLevel="0" collapsed="false">
      <c r="A44" s="6" t="s">
        <v>99</v>
      </c>
      <c r="B44" s="6" t="s">
        <v>273</v>
      </c>
      <c r="C44" s="6" t="s">
        <v>39</v>
      </c>
      <c r="D44" s="6" t="s">
        <v>270</v>
      </c>
      <c r="E44" s="6"/>
      <c r="F44" s="6"/>
      <c r="G44" s="6" t="s">
        <v>349</v>
      </c>
      <c r="H44" s="6" t="s">
        <v>346</v>
      </c>
      <c r="I44" s="6" t="s">
        <v>347</v>
      </c>
      <c r="J44" s="6" t="s">
        <v>45</v>
      </c>
      <c r="K44" s="6" t="s">
        <v>267</v>
      </c>
      <c r="L44" s="6" t="s">
        <v>348</v>
      </c>
    </row>
    <row r="45" customFormat="false" ht="68.65" hidden="false" customHeight="false" outlineLevel="0" collapsed="false">
      <c r="A45" s="6" t="s">
        <v>99</v>
      </c>
      <c r="B45" s="6" t="s">
        <v>276</v>
      </c>
      <c r="C45" s="6" t="s">
        <v>39</v>
      </c>
      <c r="D45" s="6" t="s">
        <v>270</v>
      </c>
      <c r="E45" s="6"/>
      <c r="F45" s="6"/>
      <c r="G45" s="6" t="s">
        <v>350</v>
      </c>
      <c r="H45" s="6" t="s">
        <v>351</v>
      </c>
      <c r="I45" s="6" t="s">
        <v>347</v>
      </c>
      <c r="J45" s="6" t="s">
        <v>45</v>
      </c>
      <c r="K45" s="6" t="s">
        <v>267</v>
      </c>
      <c r="L45" s="6" t="s">
        <v>348</v>
      </c>
    </row>
    <row r="46" customFormat="false" ht="102.2" hidden="false" customHeight="false" outlineLevel="0" collapsed="false">
      <c r="A46" s="6" t="s">
        <v>103</v>
      </c>
      <c r="B46" s="6" t="s">
        <v>262</v>
      </c>
      <c r="C46" s="6" t="s">
        <v>50</v>
      </c>
      <c r="D46" s="6" t="s">
        <v>49</v>
      </c>
      <c r="E46" s="6"/>
      <c r="F46" s="6" t="s">
        <v>352</v>
      </c>
      <c r="G46" s="6" t="s">
        <v>353</v>
      </c>
      <c r="H46" s="6" t="s">
        <v>354</v>
      </c>
      <c r="I46" s="6" t="s">
        <v>355</v>
      </c>
      <c r="J46" s="6" t="s">
        <v>45</v>
      </c>
      <c r="K46" s="6" t="s">
        <v>267</v>
      </c>
      <c r="L46" s="6" t="s">
        <v>356</v>
      </c>
    </row>
    <row r="47" customFormat="false" ht="46.25" hidden="false" customHeight="false" outlineLevel="0" collapsed="false">
      <c r="A47" s="6" t="s">
        <v>103</v>
      </c>
      <c r="B47" s="6" t="s">
        <v>269</v>
      </c>
      <c r="C47" s="6" t="s">
        <v>39</v>
      </c>
      <c r="D47" s="6" t="s">
        <v>270</v>
      </c>
      <c r="E47" s="6"/>
      <c r="F47" s="6"/>
      <c r="G47" s="6" t="s">
        <v>357</v>
      </c>
      <c r="H47" s="6" t="s">
        <v>358</v>
      </c>
      <c r="I47" s="6" t="s">
        <v>355</v>
      </c>
      <c r="J47" s="6" t="s">
        <v>45</v>
      </c>
      <c r="K47" s="6" t="s">
        <v>267</v>
      </c>
      <c r="L47" s="6" t="s">
        <v>356</v>
      </c>
    </row>
    <row r="48" customFormat="false" ht="46.25" hidden="false" customHeight="false" outlineLevel="0" collapsed="false">
      <c r="A48" s="6" t="s">
        <v>103</v>
      </c>
      <c r="B48" s="6" t="s">
        <v>273</v>
      </c>
      <c r="C48" s="6" t="s">
        <v>39</v>
      </c>
      <c r="D48" s="6" t="s">
        <v>270</v>
      </c>
      <c r="E48" s="6"/>
      <c r="F48" s="6"/>
      <c r="G48" s="6" t="s">
        <v>357</v>
      </c>
      <c r="H48" s="6" t="s">
        <v>358</v>
      </c>
      <c r="I48" s="6" t="s">
        <v>355</v>
      </c>
      <c r="J48" s="6" t="s">
        <v>45</v>
      </c>
      <c r="K48" s="6" t="s">
        <v>267</v>
      </c>
      <c r="L48" s="6" t="s">
        <v>356</v>
      </c>
    </row>
    <row r="49" customFormat="false" ht="35.05" hidden="false" customHeight="false" outlineLevel="0" collapsed="false">
      <c r="A49" s="6" t="s">
        <v>103</v>
      </c>
      <c r="B49" s="6" t="s">
        <v>276</v>
      </c>
      <c r="C49" s="6" t="s">
        <v>39</v>
      </c>
      <c r="D49" s="6" t="s">
        <v>270</v>
      </c>
      <c r="E49" s="6"/>
      <c r="F49" s="6"/>
      <c r="G49" s="6" t="s">
        <v>359</v>
      </c>
      <c r="H49" s="6" t="s">
        <v>360</v>
      </c>
      <c r="I49" s="6" t="s">
        <v>355</v>
      </c>
      <c r="J49" s="6" t="s">
        <v>45</v>
      </c>
      <c r="K49" s="6" t="s">
        <v>267</v>
      </c>
      <c r="L49" s="6" t="s">
        <v>356</v>
      </c>
    </row>
    <row r="50" customFormat="false" ht="79.85" hidden="false" customHeight="false" outlineLevel="0" collapsed="false">
      <c r="A50" s="6" t="s">
        <v>107</v>
      </c>
      <c r="B50" s="6" t="s">
        <v>262</v>
      </c>
      <c r="C50" s="6" t="s">
        <v>50</v>
      </c>
      <c r="D50" s="6" t="s">
        <v>49</v>
      </c>
      <c r="E50" s="6"/>
      <c r="F50" s="6" t="s">
        <v>361</v>
      </c>
      <c r="G50" s="6" t="s">
        <v>279</v>
      </c>
      <c r="H50" s="6" t="s">
        <v>362</v>
      </c>
      <c r="I50" s="6" t="s">
        <v>363</v>
      </c>
      <c r="J50" s="6" t="s">
        <v>45</v>
      </c>
      <c r="K50" s="6" t="s">
        <v>267</v>
      </c>
      <c r="L50" s="6" t="s">
        <v>364</v>
      </c>
    </row>
    <row r="51" customFormat="false" ht="57.45" hidden="false" customHeight="false" outlineLevel="0" collapsed="false">
      <c r="A51" s="6" t="s">
        <v>107</v>
      </c>
      <c r="B51" s="6" t="s">
        <v>269</v>
      </c>
      <c r="C51" s="6" t="s">
        <v>39</v>
      </c>
      <c r="D51" s="6" t="s">
        <v>270</v>
      </c>
      <c r="E51" s="6"/>
      <c r="F51" s="6"/>
      <c r="G51" s="6" t="s">
        <v>365</v>
      </c>
      <c r="H51" s="6" t="s">
        <v>366</v>
      </c>
      <c r="I51" s="6" t="s">
        <v>363</v>
      </c>
      <c r="J51" s="6" t="s">
        <v>45</v>
      </c>
      <c r="K51" s="6" t="s">
        <v>267</v>
      </c>
      <c r="L51" s="6" t="s">
        <v>364</v>
      </c>
    </row>
    <row r="52" customFormat="false" ht="57.45" hidden="false" customHeight="false" outlineLevel="0" collapsed="false">
      <c r="A52" s="6" t="s">
        <v>107</v>
      </c>
      <c r="B52" s="6" t="s">
        <v>273</v>
      </c>
      <c r="C52" s="6" t="s">
        <v>39</v>
      </c>
      <c r="D52" s="6" t="s">
        <v>270</v>
      </c>
      <c r="E52" s="6"/>
      <c r="F52" s="6"/>
      <c r="G52" s="6" t="s">
        <v>367</v>
      </c>
      <c r="H52" s="6" t="s">
        <v>368</v>
      </c>
      <c r="I52" s="6" t="s">
        <v>363</v>
      </c>
      <c r="J52" s="6" t="s">
        <v>45</v>
      </c>
      <c r="K52" s="6" t="s">
        <v>267</v>
      </c>
      <c r="L52" s="6" t="s">
        <v>364</v>
      </c>
    </row>
    <row r="53" customFormat="false" ht="57.45" hidden="false" customHeight="false" outlineLevel="0" collapsed="false">
      <c r="A53" s="6" t="s">
        <v>107</v>
      </c>
      <c r="B53" s="6" t="s">
        <v>276</v>
      </c>
      <c r="C53" s="6" t="s">
        <v>39</v>
      </c>
      <c r="D53" s="6" t="s">
        <v>270</v>
      </c>
      <c r="E53" s="6"/>
      <c r="F53" s="6"/>
      <c r="G53" s="6" t="s">
        <v>369</v>
      </c>
      <c r="H53" s="6" t="s">
        <v>370</v>
      </c>
      <c r="I53" s="6" t="s">
        <v>363</v>
      </c>
      <c r="J53" s="6" t="s">
        <v>45</v>
      </c>
      <c r="K53" s="6" t="s">
        <v>267</v>
      </c>
      <c r="L53" s="6" t="s">
        <v>364</v>
      </c>
    </row>
    <row r="54" customFormat="false" ht="68.65" hidden="false" customHeight="false" outlineLevel="0" collapsed="false">
      <c r="A54" s="6" t="s">
        <v>111</v>
      </c>
      <c r="B54" s="6" t="s">
        <v>262</v>
      </c>
      <c r="C54" s="6" t="s">
        <v>50</v>
      </c>
      <c r="D54" s="6" t="s">
        <v>113</v>
      </c>
      <c r="E54" s="6"/>
      <c r="F54" s="6" t="s">
        <v>371</v>
      </c>
      <c r="G54" s="6" t="s">
        <v>372</v>
      </c>
      <c r="H54" s="6" t="s">
        <v>373</v>
      </c>
      <c r="I54" s="6" t="s">
        <v>374</v>
      </c>
      <c r="J54" s="6" t="s">
        <v>59</v>
      </c>
      <c r="K54" s="6" t="s">
        <v>267</v>
      </c>
      <c r="L54" s="6" t="s">
        <v>375</v>
      </c>
    </row>
    <row r="55" customFormat="false" ht="46.25" hidden="false" customHeight="false" outlineLevel="0" collapsed="false">
      <c r="A55" s="6" t="s">
        <v>111</v>
      </c>
      <c r="B55" s="6" t="s">
        <v>269</v>
      </c>
      <c r="C55" s="6" t="s">
        <v>91</v>
      </c>
      <c r="D55" s="6" t="s">
        <v>113</v>
      </c>
      <c r="E55" s="6"/>
      <c r="F55" s="6"/>
      <c r="G55" s="6" t="s">
        <v>376</v>
      </c>
      <c r="H55" s="6" t="s">
        <v>377</v>
      </c>
      <c r="I55" s="6" t="s">
        <v>374</v>
      </c>
      <c r="J55" s="6" t="s">
        <v>59</v>
      </c>
      <c r="K55" s="6" t="s">
        <v>267</v>
      </c>
      <c r="L55" s="6" t="s">
        <v>375</v>
      </c>
    </row>
    <row r="56" customFormat="false" ht="46.25" hidden="false" customHeight="false" outlineLevel="0" collapsed="false">
      <c r="A56" s="6" t="s">
        <v>111</v>
      </c>
      <c r="B56" s="6" t="s">
        <v>273</v>
      </c>
      <c r="C56" s="6" t="s">
        <v>91</v>
      </c>
      <c r="D56" s="6" t="s">
        <v>113</v>
      </c>
      <c r="E56" s="6"/>
      <c r="F56" s="6"/>
      <c r="G56" s="6" t="s">
        <v>378</v>
      </c>
      <c r="H56" s="6" t="s">
        <v>373</v>
      </c>
      <c r="I56" s="6" t="s">
        <v>374</v>
      </c>
      <c r="J56" s="6" t="s">
        <v>59</v>
      </c>
      <c r="K56" s="6" t="s">
        <v>267</v>
      </c>
      <c r="L56" s="6" t="s">
        <v>375</v>
      </c>
    </row>
    <row r="57" customFormat="false" ht="46.25" hidden="false" customHeight="false" outlineLevel="0" collapsed="false">
      <c r="A57" s="6" t="s">
        <v>111</v>
      </c>
      <c r="B57" s="6" t="s">
        <v>276</v>
      </c>
      <c r="C57" s="6" t="s">
        <v>39</v>
      </c>
      <c r="D57" s="6" t="s">
        <v>270</v>
      </c>
      <c r="E57" s="6"/>
      <c r="F57" s="6"/>
      <c r="G57" s="6" t="s">
        <v>379</v>
      </c>
      <c r="H57" s="6" t="s">
        <v>380</v>
      </c>
      <c r="I57" s="6" t="s">
        <v>374</v>
      </c>
      <c r="J57" s="6" t="s">
        <v>59</v>
      </c>
      <c r="K57" s="6" t="s">
        <v>267</v>
      </c>
      <c r="L57" s="6" t="s">
        <v>375</v>
      </c>
    </row>
    <row r="58" customFormat="false" ht="91" hidden="false" customHeight="false" outlineLevel="0" collapsed="false">
      <c r="A58" s="6" t="s">
        <v>117</v>
      </c>
      <c r="B58" s="6" t="s">
        <v>262</v>
      </c>
      <c r="C58" s="6" t="s">
        <v>50</v>
      </c>
      <c r="D58" s="6" t="s">
        <v>101</v>
      </c>
      <c r="E58" s="6"/>
      <c r="F58" s="6" t="s">
        <v>381</v>
      </c>
      <c r="G58" s="6" t="s">
        <v>382</v>
      </c>
      <c r="H58" s="6" t="s">
        <v>383</v>
      </c>
      <c r="I58" s="6" t="s">
        <v>384</v>
      </c>
      <c r="J58" s="6" t="s">
        <v>45</v>
      </c>
      <c r="K58" s="6" t="s">
        <v>267</v>
      </c>
      <c r="L58" s="6" t="s">
        <v>385</v>
      </c>
    </row>
    <row r="59" customFormat="false" ht="46.25" hidden="false" customHeight="false" outlineLevel="0" collapsed="false">
      <c r="A59" s="6" t="s">
        <v>117</v>
      </c>
      <c r="B59" s="6" t="s">
        <v>269</v>
      </c>
      <c r="C59" s="6" t="s">
        <v>39</v>
      </c>
      <c r="D59" s="6" t="s">
        <v>270</v>
      </c>
      <c r="E59" s="6"/>
      <c r="F59" s="6"/>
      <c r="G59" s="6" t="s">
        <v>386</v>
      </c>
      <c r="H59" s="6" t="s">
        <v>387</v>
      </c>
      <c r="I59" s="6" t="s">
        <v>384</v>
      </c>
      <c r="J59" s="6" t="s">
        <v>45</v>
      </c>
      <c r="K59" s="6" t="s">
        <v>267</v>
      </c>
      <c r="L59" s="6" t="s">
        <v>385</v>
      </c>
    </row>
    <row r="60" customFormat="false" ht="46.25" hidden="false" customHeight="false" outlineLevel="0" collapsed="false">
      <c r="A60" s="6" t="s">
        <v>117</v>
      </c>
      <c r="B60" s="6" t="s">
        <v>273</v>
      </c>
      <c r="C60" s="6" t="s">
        <v>39</v>
      </c>
      <c r="D60" s="6" t="s">
        <v>270</v>
      </c>
      <c r="E60" s="6"/>
      <c r="F60" s="6"/>
      <c r="G60" s="6" t="s">
        <v>388</v>
      </c>
      <c r="H60" s="6" t="s">
        <v>389</v>
      </c>
      <c r="I60" s="6" t="s">
        <v>384</v>
      </c>
      <c r="J60" s="6" t="s">
        <v>45</v>
      </c>
      <c r="K60" s="6" t="s">
        <v>267</v>
      </c>
      <c r="L60" s="6" t="s">
        <v>385</v>
      </c>
    </row>
    <row r="61" customFormat="false" ht="46.25" hidden="false" customHeight="false" outlineLevel="0" collapsed="false">
      <c r="A61" s="6" t="s">
        <v>117</v>
      </c>
      <c r="B61" s="6" t="s">
        <v>276</v>
      </c>
      <c r="C61" s="6" t="s">
        <v>39</v>
      </c>
      <c r="D61" s="6" t="s">
        <v>270</v>
      </c>
      <c r="E61" s="6"/>
      <c r="F61" s="6"/>
      <c r="G61" s="6" t="s">
        <v>390</v>
      </c>
      <c r="H61" s="6" t="s">
        <v>391</v>
      </c>
      <c r="I61" s="6" t="s">
        <v>384</v>
      </c>
      <c r="J61" s="6" t="s">
        <v>45</v>
      </c>
      <c r="K61" s="6" t="s">
        <v>267</v>
      </c>
      <c r="L61" s="6" t="s">
        <v>385</v>
      </c>
    </row>
    <row r="62" customFormat="false" ht="102.2" hidden="false" customHeight="false" outlineLevel="0" collapsed="false">
      <c r="A62" s="6" t="s">
        <v>121</v>
      </c>
      <c r="B62" s="6" t="s">
        <v>262</v>
      </c>
      <c r="C62" s="6" t="s">
        <v>50</v>
      </c>
      <c r="D62" s="6" t="s">
        <v>101</v>
      </c>
      <c r="E62" s="6"/>
      <c r="F62" s="6" t="s">
        <v>392</v>
      </c>
      <c r="G62" s="6" t="s">
        <v>393</v>
      </c>
      <c r="H62" s="6" t="s">
        <v>394</v>
      </c>
      <c r="I62" s="6" t="s">
        <v>395</v>
      </c>
      <c r="J62" s="6" t="s">
        <v>45</v>
      </c>
      <c r="K62" s="6" t="s">
        <v>267</v>
      </c>
      <c r="L62" s="6" t="s">
        <v>396</v>
      </c>
    </row>
    <row r="63" customFormat="false" ht="35.05" hidden="false" customHeight="false" outlineLevel="0" collapsed="false">
      <c r="A63" s="6" t="s">
        <v>121</v>
      </c>
      <c r="B63" s="6" t="s">
        <v>269</v>
      </c>
      <c r="C63" s="6" t="s">
        <v>39</v>
      </c>
      <c r="D63" s="6" t="s">
        <v>270</v>
      </c>
      <c r="E63" s="6"/>
      <c r="F63" s="6"/>
      <c r="G63" s="6" t="s">
        <v>397</v>
      </c>
      <c r="H63" s="6" t="s">
        <v>398</v>
      </c>
      <c r="I63" s="6" t="s">
        <v>395</v>
      </c>
      <c r="J63" s="6" t="s">
        <v>45</v>
      </c>
      <c r="K63" s="6" t="s">
        <v>267</v>
      </c>
      <c r="L63" s="6" t="s">
        <v>396</v>
      </c>
    </row>
    <row r="64" customFormat="false" ht="35.05" hidden="false" customHeight="false" outlineLevel="0" collapsed="false">
      <c r="A64" s="6" t="s">
        <v>121</v>
      </c>
      <c r="B64" s="6" t="s">
        <v>273</v>
      </c>
      <c r="C64" s="6" t="s">
        <v>39</v>
      </c>
      <c r="D64" s="6" t="s">
        <v>270</v>
      </c>
      <c r="E64" s="6"/>
      <c r="F64" s="6"/>
      <c r="G64" s="6" t="s">
        <v>399</v>
      </c>
      <c r="H64" s="6" t="s">
        <v>400</v>
      </c>
      <c r="I64" s="6" t="s">
        <v>395</v>
      </c>
      <c r="J64" s="6" t="s">
        <v>45</v>
      </c>
      <c r="K64" s="6" t="s">
        <v>267</v>
      </c>
      <c r="L64" s="6" t="s">
        <v>396</v>
      </c>
    </row>
    <row r="65" customFormat="false" ht="35.05" hidden="false" customHeight="false" outlineLevel="0" collapsed="false">
      <c r="A65" s="6" t="s">
        <v>121</v>
      </c>
      <c r="B65" s="6" t="s">
        <v>276</v>
      </c>
      <c r="C65" s="6" t="s">
        <v>39</v>
      </c>
      <c r="D65" s="6" t="s">
        <v>270</v>
      </c>
      <c r="E65" s="6"/>
      <c r="F65" s="6"/>
      <c r="G65" s="6" t="s">
        <v>399</v>
      </c>
      <c r="H65" s="6" t="s">
        <v>400</v>
      </c>
      <c r="I65" s="6" t="s">
        <v>395</v>
      </c>
      <c r="J65" s="6" t="s">
        <v>45</v>
      </c>
      <c r="K65" s="6" t="s">
        <v>267</v>
      </c>
      <c r="L65" s="6" t="s">
        <v>396</v>
      </c>
    </row>
    <row r="66" customFormat="false" ht="79.85" hidden="false" customHeight="false" outlineLevel="0" collapsed="false">
      <c r="A66" s="6" t="s">
        <v>124</v>
      </c>
      <c r="B66" s="6" t="s">
        <v>262</v>
      </c>
      <c r="C66" s="6" t="s">
        <v>50</v>
      </c>
      <c r="D66" s="6" t="s">
        <v>49</v>
      </c>
      <c r="E66" s="6"/>
      <c r="F66" s="6" t="s">
        <v>401</v>
      </c>
      <c r="G66" s="6" t="s">
        <v>402</v>
      </c>
      <c r="H66" s="6" t="s">
        <v>403</v>
      </c>
      <c r="I66" s="6" t="s">
        <v>404</v>
      </c>
      <c r="J66" s="6" t="s">
        <v>45</v>
      </c>
      <c r="K66" s="6" t="s">
        <v>267</v>
      </c>
      <c r="L66" s="6" t="s">
        <v>405</v>
      </c>
    </row>
    <row r="67" customFormat="false" ht="46.25" hidden="false" customHeight="false" outlineLevel="0" collapsed="false">
      <c r="A67" s="6" t="s">
        <v>124</v>
      </c>
      <c r="B67" s="6" t="s">
        <v>269</v>
      </c>
      <c r="C67" s="6" t="s">
        <v>39</v>
      </c>
      <c r="D67" s="6" t="s">
        <v>270</v>
      </c>
      <c r="E67" s="6"/>
      <c r="F67" s="6"/>
      <c r="G67" s="6" t="s">
        <v>406</v>
      </c>
      <c r="H67" s="6" t="s">
        <v>407</v>
      </c>
      <c r="I67" s="6" t="s">
        <v>404</v>
      </c>
      <c r="J67" s="6" t="s">
        <v>45</v>
      </c>
      <c r="K67" s="6" t="s">
        <v>267</v>
      </c>
      <c r="L67" s="6" t="s">
        <v>405</v>
      </c>
    </row>
    <row r="68" customFormat="false" ht="35.05" hidden="false" customHeight="false" outlineLevel="0" collapsed="false">
      <c r="A68" s="6" t="s">
        <v>124</v>
      </c>
      <c r="B68" s="6" t="s">
        <v>273</v>
      </c>
      <c r="C68" s="6" t="s">
        <v>39</v>
      </c>
      <c r="D68" s="6" t="s">
        <v>270</v>
      </c>
      <c r="E68" s="6"/>
      <c r="F68" s="6"/>
      <c r="G68" s="6" t="s">
        <v>408</v>
      </c>
      <c r="H68" s="6" t="s">
        <v>409</v>
      </c>
      <c r="I68" s="6" t="s">
        <v>404</v>
      </c>
      <c r="J68" s="6" t="s">
        <v>45</v>
      </c>
      <c r="K68" s="6" t="s">
        <v>267</v>
      </c>
      <c r="L68" s="6" t="s">
        <v>405</v>
      </c>
    </row>
    <row r="69" customFormat="false" ht="35.05" hidden="false" customHeight="false" outlineLevel="0" collapsed="false">
      <c r="A69" s="6" t="s">
        <v>124</v>
      </c>
      <c r="B69" s="6" t="s">
        <v>276</v>
      </c>
      <c r="C69" s="6" t="s">
        <v>39</v>
      </c>
      <c r="D69" s="6" t="s">
        <v>270</v>
      </c>
      <c r="E69" s="6"/>
      <c r="F69" s="6"/>
      <c r="G69" s="6" t="s">
        <v>408</v>
      </c>
      <c r="H69" s="6" t="s">
        <v>409</v>
      </c>
      <c r="I69" s="6" t="s">
        <v>404</v>
      </c>
      <c r="J69" s="6" t="s">
        <v>45</v>
      </c>
      <c r="K69" s="6" t="s">
        <v>267</v>
      </c>
      <c r="L69" s="6" t="s">
        <v>405</v>
      </c>
    </row>
    <row r="70" customFormat="false" ht="102.2" hidden="false" customHeight="false" outlineLevel="0" collapsed="false">
      <c r="A70" s="6" t="s">
        <v>127</v>
      </c>
      <c r="B70" s="6" t="s">
        <v>262</v>
      </c>
      <c r="C70" s="6" t="s">
        <v>50</v>
      </c>
      <c r="D70" s="6" t="s">
        <v>49</v>
      </c>
      <c r="E70" s="6"/>
      <c r="F70" s="6" t="s">
        <v>410</v>
      </c>
      <c r="G70" s="6" t="s">
        <v>411</v>
      </c>
      <c r="H70" s="6" t="s">
        <v>412</v>
      </c>
      <c r="I70" s="6" t="s">
        <v>413</v>
      </c>
      <c r="J70" s="6" t="s">
        <v>45</v>
      </c>
      <c r="K70" s="6" t="s">
        <v>267</v>
      </c>
      <c r="L70" s="6" t="s">
        <v>414</v>
      </c>
    </row>
    <row r="71" customFormat="false" ht="57.45" hidden="false" customHeight="false" outlineLevel="0" collapsed="false">
      <c r="A71" s="6" t="s">
        <v>127</v>
      </c>
      <c r="B71" s="6" t="s">
        <v>269</v>
      </c>
      <c r="C71" s="6" t="s">
        <v>39</v>
      </c>
      <c r="D71" s="6" t="s">
        <v>270</v>
      </c>
      <c r="E71" s="6"/>
      <c r="F71" s="6"/>
      <c r="G71" s="6" t="s">
        <v>415</v>
      </c>
      <c r="H71" s="6" t="s">
        <v>416</v>
      </c>
      <c r="I71" s="6" t="s">
        <v>413</v>
      </c>
      <c r="J71" s="6" t="s">
        <v>45</v>
      </c>
      <c r="K71" s="6" t="s">
        <v>267</v>
      </c>
      <c r="L71" s="6" t="s">
        <v>414</v>
      </c>
    </row>
    <row r="72" customFormat="false" ht="57.45" hidden="false" customHeight="false" outlineLevel="0" collapsed="false">
      <c r="A72" s="6" t="s">
        <v>127</v>
      </c>
      <c r="B72" s="6" t="s">
        <v>273</v>
      </c>
      <c r="C72" s="6" t="s">
        <v>50</v>
      </c>
      <c r="D72" s="6" t="s">
        <v>49</v>
      </c>
      <c r="E72" s="6"/>
      <c r="F72" s="6"/>
      <c r="G72" s="6" t="s">
        <v>417</v>
      </c>
      <c r="H72" s="6" t="s">
        <v>418</v>
      </c>
      <c r="I72" s="6" t="s">
        <v>413</v>
      </c>
      <c r="J72" s="6" t="s">
        <v>45</v>
      </c>
      <c r="K72" s="6" t="s">
        <v>267</v>
      </c>
      <c r="L72" s="6" t="s">
        <v>414</v>
      </c>
    </row>
    <row r="73" customFormat="false" ht="57.45" hidden="false" customHeight="false" outlineLevel="0" collapsed="false">
      <c r="A73" s="6" t="s">
        <v>127</v>
      </c>
      <c r="B73" s="6" t="s">
        <v>276</v>
      </c>
      <c r="C73" s="6" t="s">
        <v>39</v>
      </c>
      <c r="D73" s="6" t="s">
        <v>270</v>
      </c>
      <c r="E73" s="6"/>
      <c r="F73" s="6"/>
      <c r="G73" s="6" t="s">
        <v>419</v>
      </c>
      <c r="H73" s="6" t="s">
        <v>420</v>
      </c>
      <c r="I73" s="6" t="s">
        <v>413</v>
      </c>
      <c r="J73" s="6" t="s">
        <v>45</v>
      </c>
      <c r="K73" s="6" t="s">
        <v>267</v>
      </c>
      <c r="L73" s="6" t="s">
        <v>414</v>
      </c>
    </row>
    <row r="74" customFormat="false" ht="91" hidden="false" customHeight="false" outlineLevel="0" collapsed="false">
      <c r="A74" s="6" t="s">
        <v>131</v>
      </c>
      <c r="B74" s="6" t="s">
        <v>262</v>
      </c>
      <c r="C74" s="6" t="s">
        <v>50</v>
      </c>
      <c r="D74" s="6" t="s">
        <v>49</v>
      </c>
      <c r="E74" s="6"/>
      <c r="F74" s="6" t="s">
        <v>421</v>
      </c>
      <c r="G74" s="6" t="s">
        <v>279</v>
      </c>
      <c r="H74" s="6" t="s">
        <v>422</v>
      </c>
      <c r="I74" s="6" t="s">
        <v>423</v>
      </c>
      <c r="J74" s="6" t="s">
        <v>45</v>
      </c>
      <c r="K74" s="6" t="s">
        <v>267</v>
      </c>
      <c r="L74" s="6" t="s">
        <v>424</v>
      </c>
    </row>
    <row r="75" customFormat="false" ht="46.25" hidden="false" customHeight="false" outlineLevel="0" collapsed="false">
      <c r="A75" s="6" t="s">
        <v>131</v>
      </c>
      <c r="B75" s="6" t="s">
        <v>269</v>
      </c>
      <c r="C75" s="6" t="s">
        <v>91</v>
      </c>
      <c r="D75" s="6" t="s">
        <v>49</v>
      </c>
      <c r="E75" s="6"/>
      <c r="F75" s="6"/>
      <c r="G75" s="6" t="s">
        <v>425</v>
      </c>
      <c r="H75" s="6" t="s">
        <v>426</v>
      </c>
      <c r="I75" s="6" t="s">
        <v>423</v>
      </c>
      <c r="J75" s="6" t="s">
        <v>45</v>
      </c>
      <c r="K75" s="6" t="s">
        <v>267</v>
      </c>
      <c r="L75" s="6" t="s">
        <v>424</v>
      </c>
    </row>
    <row r="76" customFormat="false" ht="46.25" hidden="false" customHeight="false" outlineLevel="0" collapsed="false">
      <c r="A76" s="6" t="s">
        <v>131</v>
      </c>
      <c r="B76" s="6" t="s">
        <v>273</v>
      </c>
      <c r="C76" s="6" t="s">
        <v>91</v>
      </c>
      <c r="D76" s="6" t="s">
        <v>49</v>
      </c>
      <c r="E76" s="6"/>
      <c r="F76" s="6"/>
      <c r="G76" s="6" t="s">
        <v>425</v>
      </c>
      <c r="H76" s="6" t="s">
        <v>426</v>
      </c>
      <c r="I76" s="6" t="s">
        <v>423</v>
      </c>
      <c r="J76" s="6" t="s">
        <v>45</v>
      </c>
      <c r="K76" s="6" t="s">
        <v>267</v>
      </c>
      <c r="L76" s="6" t="s">
        <v>424</v>
      </c>
    </row>
    <row r="77" customFormat="false" ht="23.85" hidden="false" customHeight="false" outlineLevel="0" collapsed="false">
      <c r="A77" s="6" t="s">
        <v>131</v>
      </c>
      <c r="B77" s="6" t="s">
        <v>276</v>
      </c>
      <c r="C77" s="6" t="s">
        <v>38</v>
      </c>
      <c r="D77" s="6" t="s">
        <v>270</v>
      </c>
      <c r="E77" s="6"/>
      <c r="F77" s="6"/>
      <c r="G77" s="6" t="s">
        <v>427</v>
      </c>
      <c r="H77" s="6" t="s">
        <v>426</v>
      </c>
      <c r="I77" s="6" t="s">
        <v>423</v>
      </c>
      <c r="J77" s="6" t="s">
        <v>45</v>
      </c>
      <c r="K77" s="6" t="s">
        <v>267</v>
      </c>
      <c r="L77" s="6" t="s">
        <v>424</v>
      </c>
    </row>
    <row r="78" customFormat="false" ht="91" hidden="false" customHeight="false" outlineLevel="0" collapsed="false">
      <c r="A78" s="6" t="s">
        <v>136</v>
      </c>
      <c r="B78" s="6" t="s">
        <v>262</v>
      </c>
      <c r="C78" s="6" t="s">
        <v>50</v>
      </c>
      <c r="D78" s="6" t="s">
        <v>49</v>
      </c>
      <c r="E78" s="6"/>
      <c r="F78" s="6" t="s">
        <v>428</v>
      </c>
      <c r="G78" s="6" t="s">
        <v>429</v>
      </c>
      <c r="H78" s="6" t="s">
        <v>430</v>
      </c>
      <c r="I78" s="6" t="s">
        <v>431</v>
      </c>
      <c r="J78" s="6" t="s">
        <v>45</v>
      </c>
      <c r="K78" s="6" t="s">
        <v>267</v>
      </c>
      <c r="L78" s="6" t="s">
        <v>432</v>
      </c>
    </row>
    <row r="79" customFormat="false" ht="35.05" hidden="false" customHeight="false" outlineLevel="0" collapsed="false">
      <c r="A79" s="6" t="s">
        <v>136</v>
      </c>
      <c r="B79" s="6" t="s">
        <v>269</v>
      </c>
      <c r="C79" s="6" t="s">
        <v>39</v>
      </c>
      <c r="D79" s="6" t="s">
        <v>270</v>
      </c>
      <c r="E79" s="6"/>
      <c r="F79" s="6"/>
      <c r="G79" s="6" t="s">
        <v>433</v>
      </c>
      <c r="H79" s="6" t="s">
        <v>434</v>
      </c>
      <c r="I79" s="6" t="s">
        <v>431</v>
      </c>
      <c r="J79" s="6" t="s">
        <v>45</v>
      </c>
      <c r="K79" s="6" t="s">
        <v>267</v>
      </c>
      <c r="L79" s="6" t="s">
        <v>432</v>
      </c>
    </row>
    <row r="80" customFormat="false" ht="35.05" hidden="false" customHeight="false" outlineLevel="0" collapsed="false">
      <c r="A80" s="6" t="s">
        <v>136</v>
      </c>
      <c r="B80" s="6" t="s">
        <v>273</v>
      </c>
      <c r="C80" s="6" t="s">
        <v>39</v>
      </c>
      <c r="D80" s="6" t="s">
        <v>270</v>
      </c>
      <c r="E80" s="6"/>
      <c r="F80" s="6"/>
      <c r="G80" s="6" t="s">
        <v>435</v>
      </c>
      <c r="H80" s="6" t="s">
        <v>436</v>
      </c>
      <c r="I80" s="6" t="s">
        <v>431</v>
      </c>
      <c r="J80" s="6" t="s">
        <v>45</v>
      </c>
      <c r="K80" s="6" t="s">
        <v>267</v>
      </c>
      <c r="L80" s="6" t="s">
        <v>432</v>
      </c>
    </row>
    <row r="81" customFormat="false" ht="35.05" hidden="false" customHeight="false" outlineLevel="0" collapsed="false">
      <c r="A81" s="6" t="s">
        <v>136</v>
      </c>
      <c r="B81" s="6" t="s">
        <v>276</v>
      </c>
      <c r="C81" s="6" t="s">
        <v>39</v>
      </c>
      <c r="D81" s="6" t="s">
        <v>270</v>
      </c>
      <c r="E81" s="6"/>
      <c r="F81" s="6"/>
      <c r="G81" s="6" t="s">
        <v>437</v>
      </c>
      <c r="H81" s="6" t="s">
        <v>438</v>
      </c>
      <c r="I81" s="6" t="s">
        <v>431</v>
      </c>
      <c r="J81" s="6" t="s">
        <v>45</v>
      </c>
      <c r="K81" s="6" t="s">
        <v>267</v>
      </c>
      <c r="L81" s="6" t="s">
        <v>432</v>
      </c>
    </row>
    <row r="82" customFormat="false" ht="68.65" hidden="false" customHeight="false" outlineLevel="0" collapsed="false">
      <c r="A82" s="6" t="s">
        <v>140</v>
      </c>
      <c r="B82" s="6" t="s">
        <v>262</v>
      </c>
      <c r="C82" s="6" t="s">
        <v>50</v>
      </c>
      <c r="D82" s="6" t="s">
        <v>101</v>
      </c>
      <c r="E82" s="6"/>
      <c r="F82" s="6" t="s">
        <v>439</v>
      </c>
      <c r="G82" s="6" t="s">
        <v>440</v>
      </c>
      <c r="H82" s="6" t="s">
        <v>441</v>
      </c>
      <c r="I82" s="6" t="s">
        <v>442</v>
      </c>
      <c r="J82" s="6" t="s">
        <v>45</v>
      </c>
      <c r="K82" s="6" t="s">
        <v>267</v>
      </c>
      <c r="L82" s="6" t="s">
        <v>443</v>
      </c>
    </row>
    <row r="83" customFormat="false" ht="35.05" hidden="false" customHeight="false" outlineLevel="0" collapsed="false">
      <c r="A83" s="6" t="s">
        <v>140</v>
      </c>
      <c r="B83" s="6" t="s">
        <v>269</v>
      </c>
      <c r="C83" s="6" t="s">
        <v>39</v>
      </c>
      <c r="D83" s="6" t="s">
        <v>270</v>
      </c>
      <c r="E83" s="6"/>
      <c r="F83" s="6"/>
      <c r="G83" s="6" t="s">
        <v>444</v>
      </c>
      <c r="H83" s="6" t="s">
        <v>441</v>
      </c>
      <c r="I83" s="6" t="s">
        <v>442</v>
      </c>
      <c r="J83" s="6" t="s">
        <v>45</v>
      </c>
      <c r="K83" s="6" t="s">
        <v>267</v>
      </c>
      <c r="L83" s="6" t="s">
        <v>443</v>
      </c>
    </row>
    <row r="84" customFormat="false" ht="35.05" hidden="false" customHeight="false" outlineLevel="0" collapsed="false">
      <c r="A84" s="6" t="s">
        <v>140</v>
      </c>
      <c r="B84" s="6" t="s">
        <v>273</v>
      </c>
      <c r="C84" s="6" t="s">
        <v>39</v>
      </c>
      <c r="D84" s="6" t="s">
        <v>270</v>
      </c>
      <c r="E84" s="6"/>
      <c r="F84" s="6"/>
      <c r="G84" s="6" t="s">
        <v>444</v>
      </c>
      <c r="H84" s="6" t="s">
        <v>441</v>
      </c>
      <c r="I84" s="6" t="s">
        <v>442</v>
      </c>
      <c r="J84" s="6" t="s">
        <v>45</v>
      </c>
      <c r="K84" s="6" t="s">
        <v>267</v>
      </c>
      <c r="L84" s="6" t="s">
        <v>443</v>
      </c>
    </row>
    <row r="85" customFormat="false" ht="35.05" hidden="false" customHeight="false" outlineLevel="0" collapsed="false">
      <c r="A85" s="6" t="s">
        <v>140</v>
      </c>
      <c r="B85" s="6" t="s">
        <v>276</v>
      </c>
      <c r="C85" s="6" t="s">
        <v>39</v>
      </c>
      <c r="D85" s="6" t="s">
        <v>270</v>
      </c>
      <c r="E85" s="6"/>
      <c r="F85" s="6"/>
      <c r="G85" s="6" t="s">
        <v>444</v>
      </c>
      <c r="H85" s="6" t="s">
        <v>441</v>
      </c>
      <c r="I85" s="6" t="s">
        <v>442</v>
      </c>
      <c r="J85" s="6" t="s">
        <v>45</v>
      </c>
      <c r="K85" s="6" t="s">
        <v>267</v>
      </c>
      <c r="L85" s="6" t="s">
        <v>443</v>
      </c>
    </row>
    <row r="86" customFormat="false" ht="113.4" hidden="false" customHeight="false" outlineLevel="0" collapsed="false">
      <c r="A86" s="6" t="s">
        <v>143</v>
      </c>
      <c r="B86" s="6" t="s">
        <v>262</v>
      </c>
      <c r="C86" s="6" t="s">
        <v>50</v>
      </c>
      <c r="D86" s="6" t="s">
        <v>49</v>
      </c>
      <c r="E86" s="6"/>
      <c r="F86" s="6" t="s">
        <v>445</v>
      </c>
      <c r="G86" s="6" t="s">
        <v>446</v>
      </c>
      <c r="H86" s="6" t="s">
        <v>447</v>
      </c>
      <c r="I86" s="6" t="s">
        <v>448</v>
      </c>
      <c r="J86" s="6" t="s">
        <v>45</v>
      </c>
      <c r="K86" s="6" t="s">
        <v>267</v>
      </c>
      <c r="L86" s="6" t="s">
        <v>449</v>
      </c>
    </row>
    <row r="87" customFormat="false" ht="35.05" hidden="false" customHeight="false" outlineLevel="0" collapsed="false">
      <c r="A87" s="6" t="s">
        <v>143</v>
      </c>
      <c r="B87" s="6" t="s">
        <v>269</v>
      </c>
      <c r="C87" s="6" t="s">
        <v>39</v>
      </c>
      <c r="D87" s="6" t="s">
        <v>270</v>
      </c>
      <c r="E87" s="6"/>
      <c r="F87" s="6"/>
      <c r="G87" s="6" t="s">
        <v>450</v>
      </c>
      <c r="H87" s="6" t="s">
        <v>447</v>
      </c>
      <c r="I87" s="6" t="s">
        <v>448</v>
      </c>
      <c r="J87" s="6" t="s">
        <v>45</v>
      </c>
      <c r="K87" s="6" t="s">
        <v>267</v>
      </c>
      <c r="L87" s="6" t="s">
        <v>449</v>
      </c>
    </row>
    <row r="88" customFormat="false" ht="35.05" hidden="false" customHeight="false" outlineLevel="0" collapsed="false">
      <c r="A88" s="6" t="s">
        <v>143</v>
      </c>
      <c r="B88" s="6" t="s">
        <v>273</v>
      </c>
      <c r="C88" s="6" t="s">
        <v>39</v>
      </c>
      <c r="D88" s="6" t="s">
        <v>270</v>
      </c>
      <c r="E88" s="6"/>
      <c r="F88" s="6"/>
      <c r="G88" s="6" t="s">
        <v>450</v>
      </c>
      <c r="H88" s="6" t="s">
        <v>447</v>
      </c>
      <c r="I88" s="6" t="s">
        <v>448</v>
      </c>
      <c r="J88" s="6" t="s">
        <v>45</v>
      </c>
      <c r="K88" s="6" t="s">
        <v>267</v>
      </c>
      <c r="L88" s="6" t="s">
        <v>449</v>
      </c>
    </row>
    <row r="89" customFormat="false" ht="35.05" hidden="false" customHeight="false" outlineLevel="0" collapsed="false">
      <c r="A89" s="6" t="s">
        <v>143</v>
      </c>
      <c r="B89" s="6" t="s">
        <v>276</v>
      </c>
      <c r="C89" s="6" t="s">
        <v>39</v>
      </c>
      <c r="D89" s="6" t="s">
        <v>270</v>
      </c>
      <c r="E89" s="6"/>
      <c r="F89" s="6"/>
      <c r="G89" s="6" t="s">
        <v>450</v>
      </c>
      <c r="H89" s="6" t="s">
        <v>447</v>
      </c>
      <c r="I89" s="6" t="s">
        <v>448</v>
      </c>
      <c r="J89" s="6" t="s">
        <v>45</v>
      </c>
      <c r="K89" s="6" t="s">
        <v>267</v>
      </c>
      <c r="L89" s="6" t="s">
        <v>449</v>
      </c>
    </row>
    <row r="90" customFormat="false" ht="102.2" hidden="false" customHeight="false" outlineLevel="0" collapsed="false">
      <c r="A90" s="6" t="s">
        <v>146</v>
      </c>
      <c r="B90" s="6" t="s">
        <v>262</v>
      </c>
      <c r="C90" s="6" t="s">
        <v>50</v>
      </c>
      <c r="D90" s="6" t="s">
        <v>37</v>
      </c>
      <c r="E90" s="6"/>
      <c r="F90" s="6" t="s">
        <v>451</v>
      </c>
      <c r="G90" s="6" t="s">
        <v>452</v>
      </c>
      <c r="H90" s="6" t="s">
        <v>453</v>
      </c>
      <c r="I90" s="6" t="s">
        <v>454</v>
      </c>
      <c r="J90" s="6" t="s">
        <v>45</v>
      </c>
      <c r="K90" s="6" t="s">
        <v>267</v>
      </c>
      <c r="L90" s="6" t="s">
        <v>455</v>
      </c>
    </row>
    <row r="91" customFormat="false" ht="46.25" hidden="false" customHeight="false" outlineLevel="0" collapsed="false">
      <c r="A91" s="6" t="s">
        <v>146</v>
      </c>
      <c r="B91" s="6" t="s">
        <v>269</v>
      </c>
      <c r="C91" s="6" t="s">
        <v>39</v>
      </c>
      <c r="D91" s="6" t="s">
        <v>270</v>
      </c>
      <c r="E91" s="6"/>
      <c r="F91" s="6"/>
      <c r="G91" s="6" t="s">
        <v>456</v>
      </c>
      <c r="H91" s="6" t="s">
        <v>457</v>
      </c>
      <c r="I91" s="6" t="s">
        <v>454</v>
      </c>
      <c r="J91" s="6" t="s">
        <v>45</v>
      </c>
      <c r="K91" s="6" t="s">
        <v>267</v>
      </c>
      <c r="L91" s="6" t="s">
        <v>455</v>
      </c>
    </row>
    <row r="92" customFormat="false" ht="46.25" hidden="false" customHeight="false" outlineLevel="0" collapsed="false">
      <c r="A92" s="6" t="s">
        <v>146</v>
      </c>
      <c r="B92" s="6" t="s">
        <v>273</v>
      </c>
      <c r="C92" s="6" t="s">
        <v>39</v>
      </c>
      <c r="D92" s="6" t="s">
        <v>270</v>
      </c>
      <c r="E92" s="6"/>
      <c r="F92" s="6"/>
      <c r="G92" s="6" t="s">
        <v>456</v>
      </c>
      <c r="H92" s="6" t="s">
        <v>457</v>
      </c>
      <c r="I92" s="6" t="s">
        <v>454</v>
      </c>
      <c r="J92" s="6" t="s">
        <v>45</v>
      </c>
      <c r="K92" s="6" t="s">
        <v>267</v>
      </c>
      <c r="L92" s="6" t="s">
        <v>455</v>
      </c>
    </row>
    <row r="93" customFormat="false" ht="46.25" hidden="false" customHeight="false" outlineLevel="0" collapsed="false">
      <c r="A93" s="6" t="s">
        <v>146</v>
      </c>
      <c r="B93" s="6" t="s">
        <v>276</v>
      </c>
      <c r="C93" s="6" t="s">
        <v>39</v>
      </c>
      <c r="D93" s="6" t="s">
        <v>270</v>
      </c>
      <c r="E93" s="6"/>
      <c r="F93" s="6"/>
      <c r="G93" s="6" t="s">
        <v>456</v>
      </c>
      <c r="H93" s="6" t="s">
        <v>457</v>
      </c>
      <c r="I93" s="6" t="s">
        <v>454</v>
      </c>
      <c r="J93" s="6" t="s">
        <v>45</v>
      </c>
      <c r="K93" s="6" t="s">
        <v>267</v>
      </c>
      <c r="L93" s="6" t="s">
        <v>455</v>
      </c>
    </row>
    <row r="94" customFormat="false" ht="79.85" hidden="false" customHeight="false" outlineLevel="0" collapsed="false">
      <c r="A94" s="6" t="s">
        <v>150</v>
      </c>
      <c r="B94" s="6" t="s">
        <v>262</v>
      </c>
      <c r="C94" s="6" t="s">
        <v>50</v>
      </c>
      <c r="D94" s="6" t="s">
        <v>49</v>
      </c>
      <c r="E94" s="6"/>
      <c r="F94" s="6" t="s">
        <v>458</v>
      </c>
      <c r="G94" s="6" t="s">
        <v>459</v>
      </c>
      <c r="H94" s="6" t="s">
        <v>460</v>
      </c>
      <c r="I94" s="6" t="s">
        <v>461</v>
      </c>
      <c r="J94" s="6" t="s">
        <v>45</v>
      </c>
      <c r="K94" s="6" t="s">
        <v>267</v>
      </c>
      <c r="L94" s="6" t="s">
        <v>462</v>
      </c>
    </row>
    <row r="95" customFormat="false" ht="35.05" hidden="false" customHeight="false" outlineLevel="0" collapsed="false">
      <c r="A95" s="6" t="s">
        <v>150</v>
      </c>
      <c r="B95" s="6" t="s">
        <v>269</v>
      </c>
      <c r="C95" s="6" t="s">
        <v>39</v>
      </c>
      <c r="D95" s="6" t="s">
        <v>270</v>
      </c>
      <c r="E95" s="6"/>
      <c r="F95" s="6"/>
      <c r="G95" s="6" t="s">
        <v>463</v>
      </c>
      <c r="H95" s="6" t="s">
        <v>464</v>
      </c>
      <c r="I95" s="6" t="s">
        <v>461</v>
      </c>
      <c r="J95" s="6" t="s">
        <v>45</v>
      </c>
      <c r="K95" s="6" t="s">
        <v>267</v>
      </c>
      <c r="L95" s="6" t="s">
        <v>462</v>
      </c>
    </row>
    <row r="96" customFormat="false" ht="35.05" hidden="false" customHeight="false" outlineLevel="0" collapsed="false">
      <c r="A96" s="6" t="s">
        <v>150</v>
      </c>
      <c r="B96" s="6" t="s">
        <v>273</v>
      </c>
      <c r="C96" s="6" t="s">
        <v>39</v>
      </c>
      <c r="D96" s="6" t="s">
        <v>270</v>
      </c>
      <c r="E96" s="6"/>
      <c r="F96" s="6"/>
      <c r="G96" s="6" t="s">
        <v>463</v>
      </c>
      <c r="H96" s="6" t="s">
        <v>464</v>
      </c>
      <c r="I96" s="6" t="s">
        <v>461</v>
      </c>
      <c r="J96" s="6" t="s">
        <v>45</v>
      </c>
      <c r="K96" s="6" t="s">
        <v>267</v>
      </c>
      <c r="L96" s="6" t="s">
        <v>462</v>
      </c>
    </row>
    <row r="97" customFormat="false" ht="35.05" hidden="false" customHeight="false" outlineLevel="0" collapsed="false">
      <c r="A97" s="6" t="s">
        <v>150</v>
      </c>
      <c r="B97" s="6" t="s">
        <v>276</v>
      </c>
      <c r="C97" s="6" t="s">
        <v>39</v>
      </c>
      <c r="D97" s="6" t="s">
        <v>270</v>
      </c>
      <c r="E97" s="6"/>
      <c r="F97" s="6"/>
      <c r="G97" s="6" t="s">
        <v>463</v>
      </c>
      <c r="H97" s="6" t="s">
        <v>464</v>
      </c>
      <c r="I97" s="6" t="s">
        <v>461</v>
      </c>
      <c r="J97" s="6" t="s">
        <v>45</v>
      </c>
      <c r="K97" s="6" t="s">
        <v>267</v>
      </c>
      <c r="L97" s="6" t="s">
        <v>462</v>
      </c>
    </row>
    <row r="98" customFormat="false" ht="102.2" hidden="false" customHeight="false" outlineLevel="0" collapsed="false">
      <c r="A98" s="6" t="s">
        <v>154</v>
      </c>
      <c r="B98" s="6" t="s">
        <v>262</v>
      </c>
      <c r="C98" s="6" t="s">
        <v>50</v>
      </c>
      <c r="D98" s="6" t="s">
        <v>49</v>
      </c>
      <c r="E98" s="6"/>
      <c r="F98" s="6" t="s">
        <v>465</v>
      </c>
      <c r="G98" s="6" t="s">
        <v>466</v>
      </c>
      <c r="H98" s="6" t="s">
        <v>467</v>
      </c>
      <c r="I98" s="6" t="s">
        <v>468</v>
      </c>
      <c r="J98" s="6" t="s">
        <v>45</v>
      </c>
      <c r="K98" s="6" t="s">
        <v>469</v>
      </c>
      <c r="L98" s="6" t="s">
        <v>470</v>
      </c>
    </row>
    <row r="99" customFormat="false" ht="102.2" hidden="false" customHeight="false" outlineLevel="0" collapsed="false">
      <c r="A99" s="6" t="s">
        <v>154</v>
      </c>
      <c r="B99" s="6" t="s">
        <v>269</v>
      </c>
      <c r="C99" s="6" t="s">
        <v>39</v>
      </c>
      <c r="D99" s="6" t="s">
        <v>270</v>
      </c>
      <c r="E99" s="6"/>
      <c r="F99" s="6"/>
      <c r="G99" s="6" t="s">
        <v>471</v>
      </c>
      <c r="H99" s="6" t="s">
        <v>472</v>
      </c>
      <c r="I99" s="6" t="s">
        <v>468</v>
      </c>
      <c r="J99" s="6" t="s">
        <v>45</v>
      </c>
      <c r="K99" s="6" t="s">
        <v>469</v>
      </c>
      <c r="L99" s="6" t="s">
        <v>470</v>
      </c>
    </row>
    <row r="100" customFormat="false" ht="102.2" hidden="false" customHeight="false" outlineLevel="0" collapsed="false">
      <c r="A100" s="6" t="s">
        <v>154</v>
      </c>
      <c r="B100" s="6" t="s">
        <v>273</v>
      </c>
      <c r="C100" s="6" t="s">
        <v>91</v>
      </c>
      <c r="D100" s="6" t="s">
        <v>49</v>
      </c>
      <c r="E100" s="6"/>
      <c r="F100" s="6"/>
      <c r="G100" s="6" t="s">
        <v>471</v>
      </c>
      <c r="H100" s="6" t="s">
        <v>472</v>
      </c>
      <c r="I100" s="6" t="s">
        <v>468</v>
      </c>
      <c r="J100" s="6" t="s">
        <v>45</v>
      </c>
      <c r="K100" s="6" t="s">
        <v>469</v>
      </c>
      <c r="L100" s="6" t="s">
        <v>470</v>
      </c>
    </row>
    <row r="101" customFormat="false" ht="102.2" hidden="false" customHeight="false" outlineLevel="0" collapsed="false">
      <c r="A101" s="6" t="s">
        <v>154</v>
      </c>
      <c r="B101" s="6" t="s">
        <v>276</v>
      </c>
      <c r="C101" s="6" t="s">
        <v>39</v>
      </c>
      <c r="D101" s="6" t="s">
        <v>270</v>
      </c>
      <c r="E101" s="6"/>
      <c r="F101" s="6"/>
      <c r="G101" s="6" t="s">
        <v>471</v>
      </c>
      <c r="H101" s="6" t="s">
        <v>472</v>
      </c>
      <c r="I101" s="6" t="s">
        <v>468</v>
      </c>
      <c r="J101" s="6" t="s">
        <v>45</v>
      </c>
      <c r="K101" s="6" t="s">
        <v>469</v>
      </c>
      <c r="L101" s="6" t="s">
        <v>470</v>
      </c>
    </row>
    <row r="102" customFormat="false" ht="102.2" hidden="false" customHeight="false" outlineLevel="0" collapsed="false">
      <c r="A102" s="6" t="s">
        <v>158</v>
      </c>
      <c r="B102" s="6" t="s">
        <v>262</v>
      </c>
      <c r="C102" s="6" t="s">
        <v>50</v>
      </c>
      <c r="D102" s="6" t="s">
        <v>37</v>
      </c>
      <c r="E102" s="6"/>
      <c r="F102" s="6" t="s">
        <v>473</v>
      </c>
      <c r="G102" s="6" t="s">
        <v>474</v>
      </c>
      <c r="H102" s="6" t="s">
        <v>475</v>
      </c>
      <c r="I102" s="6" t="s">
        <v>476</v>
      </c>
      <c r="J102" s="6" t="s">
        <v>45</v>
      </c>
      <c r="K102" s="6" t="s">
        <v>267</v>
      </c>
      <c r="L102" s="6" t="s">
        <v>477</v>
      </c>
    </row>
    <row r="103" customFormat="false" ht="35.05" hidden="false" customHeight="false" outlineLevel="0" collapsed="false">
      <c r="A103" s="6" t="s">
        <v>158</v>
      </c>
      <c r="B103" s="6" t="s">
        <v>269</v>
      </c>
      <c r="C103" s="6" t="s">
        <v>39</v>
      </c>
      <c r="D103" s="6" t="s">
        <v>270</v>
      </c>
      <c r="E103" s="6"/>
      <c r="F103" s="6"/>
      <c r="G103" s="6" t="s">
        <v>478</v>
      </c>
      <c r="H103" s="6" t="s">
        <v>479</v>
      </c>
      <c r="I103" s="6" t="s">
        <v>476</v>
      </c>
      <c r="J103" s="6" t="s">
        <v>45</v>
      </c>
      <c r="K103" s="6" t="s">
        <v>267</v>
      </c>
      <c r="L103" s="6" t="s">
        <v>477</v>
      </c>
    </row>
    <row r="104" customFormat="false" ht="35.05" hidden="false" customHeight="false" outlineLevel="0" collapsed="false">
      <c r="A104" s="6" t="s">
        <v>158</v>
      </c>
      <c r="B104" s="6" t="s">
        <v>273</v>
      </c>
      <c r="C104" s="6" t="s">
        <v>50</v>
      </c>
      <c r="D104" s="6" t="s">
        <v>37</v>
      </c>
      <c r="E104" s="6"/>
      <c r="F104" s="6"/>
      <c r="G104" s="6" t="s">
        <v>478</v>
      </c>
      <c r="H104" s="6" t="s">
        <v>479</v>
      </c>
      <c r="I104" s="6" t="s">
        <v>476</v>
      </c>
      <c r="J104" s="6" t="s">
        <v>45</v>
      </c>
      <c r="K104" s="6" t="s">
        <v>267</v>
      </c>
      <c r="L104" s="6" t="s">
        <v>477</v>
      </c>
    </row>
    <row r="105" customFormat="false" ht="35.05" hidden="false" customHeight="false" outlineLevel="0" collapsed="false">
      <c r="A105" s="6" t="s">
        <v>158</v>
      </c>
      <c r="B105" s="6" t="s">
        <v>276</v>
      </c>
      <c r="C105" s="6" t="s">
        <v>39</v>
      </c>
      <c r="D105" s="6" t="s">
        <v>270</v>
      </c>
      <c r="E105" s="6"/>
      <c r="F105" s="6"/>
      <c r="G105" s="6" t="s">
        <v>478</v>
      </c>
      <c r="H105" s="6" t="s">
        <v>479</v>
      </c>
      <c r="I105" s="6" t="s">
        <v>476</v>
      </c>
      <c r="J105" s="6" t="s">
        <v>45</v>
      </c>
      <c r="K105" s="6" t="s">
        <v>267</v>
      </c>
      <c r="L105" s="6" t="s">
        <v>477</v>
      </c>
    </row>
    <row r="106" customFormat="false" ht="79.85" hidden="false" customHeight="false" outlineLevel="0" collapsed="false">
      <c r="A106" s="6" t="s">
        <v>162</v>
      </c>
      <c r="B106" s="6" t="s">
        <v>262</v>
      </c>
      <c r="C106" s="6" t="s">
        <v>50</v>
      </c>
      <c r="D106" s="6" t="s">
        <v>49</v>
      </c>
      <c r="E106" s="6"/>
      <c r="F106" s="6" t="s">
        <v>480</v>
      </c>
      <c r="G106" s="6" t="s">
        <v>481</v>
      </c>
      <c r="H106" s="6" t="s">
        <v>482</v>
      </c>
      <c r="I106" s="6" t="s">
        <v>483</v>
      </c>
      <c r="J106" s="6" t="s">
        <v>45</v>
      </c>
      <c r="K106" s="6" t="s">
        <v>267</v>
      </c>
      <c r="L106" s="6" t="s">
        <v>484</v>
      </c>
    </row>
    <row r="107" customFormat="false" ht="46.25" hidden="false" customHeight="false" outlineLevel="0" collapsed="false">
      <c r="A107" s="6" t="s">
        <v>162</v>
      </c>
      <c r="B107" s="6" t="s">
        <v>269</v>
      </c>
      <c r="C107" s="6" t="s">
        <v>91</v>
      </c>
      <c r="D107" s="6" t="s">
        <v>101</v>
      </c>
      <c r="E107" s="6"/>
      <c r="F107" s="6"/>
      <c r="G107" s="6" t="s">
        <v>485</v>
      </c>
      <c r="H107" s="6" t="s">
        <v>486</v>
      </c>
      <c r="I107" s="6" t="s">
        <v>483</v>
      </c>
      <c r="J107" s="6" t="s">
        <v>45</v>
      </c>
      <c r="K107" s="6" t="s">
        <v>267</v>
      </c>
      <c r="L107" s="6" t="s">
        <v>484</v>
      </c>
    </row>
    <row r="108" customFormat="false" ht="35.05" hidden="false" customHeight="false" outlineLevel="0" collapsed="false">
      <c r="A108" s="6" t="s">
        <v>162</v>
      </c>
      <c r="B108" s="6" t="s">
        <v>273</v>
      </c>
      <c r="C108" s="6" t="s">
        <v>39</v>
      </c>
      <c r="D108" s="6" t="s">
        <v>270</v>
      </c>
      <c r="E108" s="6"/>
      <c r="F108" s="6"/>
      <c r="G108" s="6" t="s">
        <v>487</v>
      </c>
      <c r="H108" s="6" t="s">
        <v>486</v>
      </c>
      <c r="I108" s="6" t="s">
        <v>483</v>
      </c>
      <c r="J108" s="6" t="s">
        <v>45</v>
      </c>
      <c r="K108" s="6" t="s">
        <v>267</v>
      </c>
      <c r="L108" s="6" t="s">
        <v>484</v>
      </c>
    </row>
    <row r="109" customFormat="false" ht="35.05" hidden="false" customHeight="false" outlineLevel="0" collapsed="false">
      <c r="A109" s="6" t="s">
        <v>162</v>
      </c>
      <c r="B109" s="6" t="s">
        <v>276</v>
      </c>
      <c r="C109" s="6" t="s">
        <v>39</v>
      </c>
      <c r="D109" s="6" t="s">
        <v>270</v>
      </c>
      <c r="E109" s="6"/>
      <c r="F109" s="6"/>
      <c r="G109" s="6" t="s">
        <v>487</v>
      </c>
      <c r="H109" s="6" t="s">
        <v>486</v>
      </c>
      <c r="I109" s="6" t="s">
        <v>483</v>
      </c>
      <c r="J109" s="6" t="s">
        <v>45</v>
      </c>
      <c r="K109" s="6" t="s">
        <v>267</v>
      </c>
      <c r="L109" s="6" t="s">
        <v>484</v>
      </c>
    </row>
    <row r="110" customFormat="false" ht="102.2" hidden="false" customHeight="false" outlineLevel="0" collapsed="false">
      <c r="A110" s="6" t="s">
        <v>164</v>
      </c>
      <c r="B110" s="6" t="s">
        <v>262</v>
      </c>
      <c r="C110" s="6" t="s">
        <v>50</v>
      </c>
      <c r="D110" s="6" t="s">
        <v>37</v>
      </c>
      <c r="E110" s="6"/>
      <c r="F110" s="6" t="s">
        <v>488</v>
      </c>
      <c r="G110" s="6" t="s">
        <v>489</v>
      </c>
      <c r="H110" s="6" t="s">
        <v>490</v>
      </c>
      <c r="I110" s="6" t="s">
        <v>491</v>
      </c>
      <c r="J110" s="6" t="s">
        <v>45</v>
      </c>
      <c r="K110" s="6" t="s">
        <v>267</v>
      </c>
      <c r="L110" s="6" t="s">
        <v>492</v>
      </c>
    </row>
    <row r="111" customFormat="false" ht="35.05" hidden="false" customHeight="false" outlineLevel="0" collapsed="false">
      <c r="A111" s="6" t="s">
        <v>164</v>
      </c>
      <c r="B111" s="6" t="s">
        <v>269</v>
      </c>
      <c r="C111" s="6" t="s">
        <v>50</v>
      </c>
      <c r="D111" s="6" t="s">
        <v>37</v>
      </c>
      <c r="E111" s="6"/>
      <c r="F111" s="6"/>
      <c r="G111" s="6" t="s">
        <v>493</v>
      </c>
      <c r="H111" s="6" t="s">
        <v>494</v>
      </c>
      <c r="I111" s="6" t="s">
        <v>491</v>
      </c>
      <c r="J111" s="6" t="s">
        <v>45</v>
      </c>
      <c r="K111" s="6" t="s">
        <v>267</v>
      </c>
      <c r="L111" s="6" t="s">
        <v>492</v>
      </c>
    </row>
    <row r="112" customFormat="false" ht="23.85" hidden="false" customHeight="false" outlineLevel="0" collapsed="false">
      <c r="A112" s="6" t="s">
        <v>164</v>
      </c>
      <c r="B112" s="6" t="s">
        <v>273</v>
      </c>
      <c r="C112" s="6" t="s">
        <v>50</v>
      </c>
      <c r="D112" s="6" t="s">
        <v>37</v>
      </c>
      <c r="E112" s="6"/>
      <c r="F112" s="6"/>
      <c r="G112" s="6" t="s">
        <v>495</v>
      </c>
      <c r="H112" s="6" t="s">
        <v>496</v>
      </c>
      <c r="I112" s="6" t="s">
        <v>491</v>
      </c>
      <c r="J112" s="6" t="s">
        <v>45</v>
      </c>
      <c r="K112" s="6" t="s">
        <v>267</v>
      </c>
      <c r="L112" s="6" t="s">
        <v>492</v>
      </c>
    </row>
    <row r="113" customFormat="false" ht="46.25" hidden="false" customHeight="false" outlineLevel="0" collapsed="false">
      <c r="A113" s="6" t="s">
        <v>164</v>
      </c>
      <c r="B113" s="6" t="s">
        <v>276</v>
      </c>
      <c r="C113" s="6" t="s">
        <v>91</v>
      </c>
      <c r="D113" s="6" t="s">
        <v>37</v>
      </c>
      <c r="E113" s="6"/>
      <c r="F113" s="6"/>
      <c r="G113" s="6" t="s">
        <v>497</v>
      </c>
      <c r="H113" s="6" t="s">
        <v>498</v>
      </c>
      <c r="I113" s="6" t="s">
        <v>491</v>
      </c>
      <c r="J113" s="6" t="s">
        <v>45</v>
      </c>
      <c r="K113" s="6" t="s">
        <v>267</v>
      </c>
      <c r="L113" s="6" t="s">
        <v>492</v>
      </c>
    </row>
    <row r="114" customFormat="false" ht="102.2" hidden="false" customHeight="false" outlineLevel="0" collapsed="false">
      <c r="A114" s="6" t="s">
        <v>168</v>
      </c>
      <c r="B114" s="6" t="s">
        <v>262</v>
      </c>
      <c r="C114" s="6" t="s">
        <v>50</v>
      </c>
      <c r="D114" s="6" t="s">
        <v>49</v>
      </c>
      <c r="E114" s="6"/>
      <c r="F114" s="6" t="s">
        <v>499</v>
      </c>
      <c r="G114" s="6" t="s">
        <v>500</v>
      </c>
      <c r="H114" s="6" t="s">
        <v>501</v>
      </c>
      <c r="I114" s="6" t="s">
        <v>502</v>
      </c>
      <c r="J114" s="6" t="s">
        <v>45</v>
      </c>
      <c r="K114" s="6" t="s">
        <v>267</v>
      </c>
      <c r="L114" s="6" t="s">
        <v>503</v>
      </c>
    </row>
    <row r="115" customFormat="false" ht="35.05" hidden="false" customHeight="false" outlineLevel="0" collapsed="false">
      <c r="A115" s="6" t="s">
        <v>168</v>
      </c>
      <c r="B115" s="6" t="s">
        <v>269</v>
      </c>
      <c r="C115" s="6" t="s">
        <v>39</v>
      </c>
      <c r="D115" s="6" t="s">
        <v>270</v>
      </c>
      <c r="E115" s="6"/>
      <c r="F115" s="6"/>
      <c r="G115" s="6" t="s">
        <v>504</v>
      </c>
      <c r="H115" s="6" t="s">
        <v>505</v>
      </c>
      <c r="I115" s="6" t="s">
        <v>502</v>
      </c>
      <c r="J115" s="6" t="s">
        <v>45</v>
      </c>
      <c r="K115" s="6" t="s">
        <v>267</v>
      </c>
      <c r="L115" s="6" t="s">
        <v>503</v>
      </c>
    </row>
    <row r="116" customFormat="false" ht="35.05" hidden="false" customHeight="false" outlineLevel="0" collapsed="false">
      <c r="A116" s="6" t="s">
        <v>168</v>
      </c>
      <c r="B116" s="6" t="s">
        <v>273</v>
      </c>
      <c r="C116" s="6" t="s">
        <v>39</v>
      </c>
      <c r="D116" s="6" t="s">
        <v>270</v>
      </c>
      <c r="E116" s="6"/>
      <c r="F116" s="6"/>
      <c r="G116" s="6" t="s">
        <v>504</v>
      </c>
      <c r="H116" s="6" t="s">
        <v>505</v>
      </c>
      <c r="I116" s="6" t="s">
        <v>502</v>
      </c>
      <c r="J116" s="6" t="s">
        <v>45</v>
      </c>
      <c r="K116" s="6" t="s">
        <v>267</v>
      </c>
      <c r="L116" s="6" t="s">
        <v>503</v>
      </c>
    </row>
    <row r="117" customFormat="false" ht="35.05" hidden="false" customHeight="false" outlineLevel="0" collapsed="false">
      <c r="A117" s="6" t="s">
        <v>168</v>
      </c>
      <c r="B117" s="6" t="s">
        <v>276</v>
      </c>
      <c r="C117" s="6" t="s">
        <v>39</v>
      </c>
      <c r="D117" s="6" t="s">
        <v>270</v>
      </c>
      <c r="E117" s="6"/>
      <c r="F117" s="6"/>
      <c r="G117" s="6" t="s">
        <v>504</v>
      </c>
      <c r="H117" s="6" t="s">
        <v>505</v>
      </c>
      <c r="I117" s="6" t="s">
        <v>502</v>
      </c>
      <c r="J117" s="6" t="s">
        <v>45</v>
      </c>
      <c r="K117" s="6" t="s">
        <v>267</v>
      </c>
      <c r="L117" s="6" t="s">
        <v>503</v>
      </c>
    </row>
    <row r="118" customFormat="false" ht="113.4" hidden="false" customHeight="false" outlineLevel="0" collapsed="false">
      <c r="A118" s="6" t="s">
        <v>172</v>
      </c>
      <c r="B118" s="6" t="s">
        <v>262</v>
      </c>
      <c r="C118" s="6" t="s">
        <v>50</v>
      </c>
      <c r="D118" s="6" t="s">
        <v>49</v>
      </c>
      <c r="E118" s="6"/>
      <c r="F118" s="6" t="s">
        <v>506</v>
      </c>
      <c r="G118" s="6" t="s">
        <v>279</v>
      </c>
      <c r="H118" s="6" t="s">
        <v>507</v>
      </c>
      <c r="I118" s="6" t="s">
        <v>508</v>
      </c>
      <c r="J118" s="6" t="s">
        <v>45</v>
      </c>
      <c r="K118" s="6" t="s">
        <v>267</v>
      </c>
      <c r="L118" s="6" t="s">
        <v>509</v>
      </c>
    </row>
    <row r="119" customFormat="false" ht="35.05" hidden="false" customHeight="false" outlineLevel="0" collapsed="false">
      <c r="A119" s="6" t="s">
        <v>172</v>
      </c>
      <c r="B119" s="6" t="s">
        <v>269</v>
      </c>
      <c r="C119" s="6" t="s">
        <v>50</v>
      </c>
      <c r="D119" s="6" t="s">
        <v>49</v>
      </c>
      <c r="E119" s="6"/>
      <c r="F119" s="6"/>
      <c r="G119" s="6" t="s">
        <v>510</v>
      </c>
      <c r="H119" s="6" t="s">
        <v>511</v>
      </c>
      <c r="I119" s="6" t="s">
        <v>508</v>
      </c>
      <c r="J119" s="6" t="s">
        <v>45</v>
      </c>
      <c r="K119" s="6" t="s">
        <v>267</v>
      </c>
      <c r="L119" s="6" t="s">
        <v>509</v>
      </c>
    </row>
    <row r="120" customFormat="false" ht="35.05" hidden="false" customHeight="false" outlineLevel="0" collapsed="false">
      <c r="A120" s="6" t="s">
        <v>172</v>
      </c>
      <c r="B120" s="6" t="s">
        <v>273</v>
      </c>
      <c r="C120" s="6" t="s">
        <v>50</v>
      </c>
      <c r="D120" s="6" t="s">
        <v>49</v>
      </c>
      <c r="E120" s="6"/>
      <c r="F120" s="6"/>
      <c r="G120" s="6" t="s">
        <v>510</v>
      </c>
      <c r="H120" s="6" t="s">
        <v>507</v>
      </c>
      <c r="I120" s="6" t="s">
        <v>508</v>
      </c>
      <c r="J120" s="6" t="s">
        <v>45</v>
      </c>
      <c r="K120" s="6" t="s">
        <v>267</v>
      </c>
      <c r="L120" s="6" t="s">
        <v>509</v>
      </c>
    </row>
    <row r="121" customFormat="false" ht="23.85" hidden="false" customHeight="false" outlineLevel="0" collapsed="false">
      <c r="A121" s="6" t="s">
        <v>172</v>
      </c>
      <c r="B121" s="6" t="s">
        <v>276</v>
      </c>
      <c r="C121" s="6" t="s">
        <v>38</v>
      </c>
      <c r="D121" s="6" t="s">
        <v>270</v>
      </c>
      <c r="E121" s="6"/>
      <c r="F121" s="6"/>
      <c r="G121" s="6" t="s">
        <v>512</v>
      </c>
      <c r="H121" s="6" t="s">
        <v>507</v>
      </c>
      <c r="I121" s="6" t="s">
        <v>508</v>
      </c>
      <c r="J121" s="6" t="s">
        <v>45</v>
      </c>
      <c r="K121" s="6" t="s">
        <v>267</v>
      </c>
      <c r="L121" s="6" t="s">
        <v>509</v>
      </c>
    </row>
    <row r="122" customFormat="false" ht="68.65" hidden="false" customHeight="false" outlineLevel="0" collapsed="false">
      <c r="A122" s="6" t="s">
        <v>176</v>
      </c>
      <c r="B122" s="6" t="s">
        <v>262</v>
      </c>
      <c r="C122" s="6" t="s">
        <v>50</v>
      </c>
      <c r="D122" s="6" t="s">
        <v>113</v>
      </c>
      <c r="E122" s="6"/>
      <c r="F122" s="6" t="s">
        <v>513</v>
      </c>
      <c r="G122" s="6" t="s">
        <v>514</v>
      </c>
      <c r="H122" s="6" t="s">
        <v>515</v>
      </c>
      <c r="I122" s="6" t="s">
        <v>516</v>
      </c>
      <c r="J122" s="6" t="s">
        <v>45</v>
      </c>
      <c r="K122" s="6" t="s">
        <v>469</v>
      </c>
      <c r="L122" s="6" t="s">
        <v>517</v>
      </c>
    </row>
    <row r="123" customFormat="false" ht="46.25" hidden="false" customHeight="false" outlineLevel="0" collapsed="false">
      <c r="A123" s="6" t="s">
        <v>176</v>
      </c>
      <c r="B123" s="6" t="s">
        <v>269</v>
      </c>
      <c r="C123" s="6" t="s">
        <v>91</v>
      </c>
      <c r="D123" s="6" t="s">
        <v>113</v>
      </c>
      <c r="E123" s="6"/>
      <c r="F123" s="6"/>
      <c r="G123" s="6" t="s">
        <v>518</v>
      </c>
      <c r="H123" s="6" t="s">
        <v>519</v>
      </c>
      <c r="I123" s="6" t="s">
        <v>516</v>
      </c>
      <c r="J123" s="6" t="s">
        <v>45</v>
      </c>
      <c r="K123" s="6" t="s">
        <v>469</v>
      </c>
      <c r="L123" s="6" t="s">
        <v>517</v>
      </c>
    </row>
    <row r="124" customFormat="false" ht="46.25" hidden="false" customHeight="false" outlineLevel="0" collapsed="false">
      <c r="A124" s="6" t="s">
        <v>176</v>
      </c>
      <c r="B124" s="6" t="s">
        <v>273</v>
      </c>
      <c r="C124" s="6" t="s">
        <v>91</v>
      </c>
      <c r="D124" s="6" t="s">
        <v>113</v>
      </c>
      <c r="E124" s="6"/>
      <c r="F124" s="6"/>
      <c r="G124" s="6" t="s">
        <v>518</v>
      </c>
      <c r="H124" s="6" t="s">
        <v>520</v>
      </c>
      <c r="I124" s="6" t="s">
        <v>516</v>
      </c>
      <c r="J124" s="6" t="s">
        <v>45</v>
      </c>
      <c r="K124" s="6" t="s">
        <v>469</v>
      </c>
      <c r="L124" s="6" t="s">
        <v>517</v>
      </c>
    </row>
    <row r="125" customFormat="false" ht="35.05" hidden="false" customHeight="false" outlineLevel="0" collapsed="false">
      <c r="A125" s="6" t="s">
        <v>176</v>
      </c>
      <c r="B125" s="6" t="s">
        <v>276</v>
      </c>
      <c r="C125" s="6" t="s">
        <v>91</v>
      </c>
      <c r="D125" s="6" t="s">
        <v>113</v>
      </c>
      <c r="E125" s="6"/>
      <c r="F125" s="6"/>
      <c r="G125" s="6" t="s">
        <v>521</v>
      </c>
      <c r="H125" s="6" t="s">
        <v>520</v>
      </c>
      <c r="I125" s="6" t="s">
        <v>516</v>
      </c>
      <c r="J125" s="6" t="s">
        <v>45</v>
      </c>
      <c r="K125" s="6" t="s">
        <v>469</v>
      </c>
      <c r="L125" s="6" t="s">
        <v>517</v>
      </c>
    </row>
    <row r="126" customFormat="false" ht="91" hidden="false" customHeight="false" outlineLevel="0" collapsed="false">
      <c r="A126" s="6" t="s">
        <v>180</v>
      </c>
      <c r="B126" s="6" t="s">
        <v>262</v>
      </c>
      <c r="C126" s="6" t="s">
        <v>50</v>
      </c>
      <c r="D126" s="6" t="s">
        <v>101</v>
      </c>
      <c r="E126" s="6"/>
      <c r="F126" s="6" t="s">
        <v>522</v>
      </c>
      <c r="G126" s="6" t="s">
        <v>523</v>
      </c>
      <c r="H126" s="6" t="s">
        <v>524</v>
      </c>
      <c r="I126" s="6" t="s">
        <v>525</v>
      </c>
      <c r="J126" s="6" t="s">
        <v>59</v>
      </c>
      <c r="K126" s="6" t="s">
        <v>289</v>
      </c>
      <c r="L126" s="6" t="s">
        <v>526</v>
      </c>
    </row>
    <row r="127" customFormat="false" ht="91" hidden="false" customHeight="false" outlineLevel="0" collapsed="false">
      <c r="A127" s="6" t="s">
        <v>180</v>
      </c>
      <c r="B127" s="6" t="s">
        <v>269</v>
      </c>
      <c r="C127" s="6" t="s">
        <v>39</v>
      </c>
      <c r="D127" s="6" t="s">
        <v>270</v>
      </c>
      <c r="E127" s="6"/>
      <c r="F127" s="6"/>
      <c r="G127" s="6" t="s">
        <v>527</v>
      </c>
      <c r="H127" s="6" t="s">
        <v>528</v>
      </c>
      <c r="I127" s="6" t="s">
        <v>525</v>
      </c>
      <c r="J127" s="6" t="s">
        <v>59</v>
      </c>
      <c r="K127" s="6" t="s">
        <v>289</v>
      </c>
      <c r="L127" s="6" t="s">
        <v>526</v>
      </c>
    </row>
    <row r="128" customFormat="false" ht="91" hidden="false" customHeight="false" outlineLevel="0" collapsed="false">
      <c r="A128" s="6" t="s">
        <v>180</v>
      </c>
      <c r="B128" s="6" t="s">
        <v>273</v>
      </c>
      <c r="C128" s="6" t="s">
        <v>39</v>
      </c>
      <c r="D128" s="6" t="s">
        <v>270</v>
      </c>
      <c r="E128" s="6"/>
      <c r="F128" s="6"/>
      <c r="G128" s="6" t="s">
        <v>527</v>
      </c>
      <c r="H128" s="6" t="s">
        <v>528</v>
      </c>
      <c r="I128" s="6" t="s">
        <v>525</v>
      </c>
      <c r="J128" s="6" t="s">
        <v>59</v>
      </c>
      <c r="K128" s="6" t="s">
        <v>289</v>
      </c>
      <c r="L128" s="6" t="s">
        <v>526</v>
      </c>
    </row>
    <row r="129" customFormat="false" ht="91" hidden="false" customHeight="false" outlineLevel="0" collapsed="false">
      <c r="A129" s="6" t="s">
        <v>180</v>
      </c>
      <c r="B129" s="6" t="s">
        <v>276</v>
      </c>
      <c r="C129" s="6" t="s">
        <v>39</v>
      </c>
      <c r="D129" s="6" t="s">
        <v>270</v>
      </c>
      <c r="E129" s="6"/>
      <c r="F129" s="6"/>
      <c r="G129" s="6" t="s">
        <v>529</v>
      </c>
      <c r="H129" s="6" t="s">
        <v>530</v>
      </c>
      <c r="I129" s="6" t="s">
        <v>525</v>
      </c>
      <c r="J129" s="6" t="s">
        <v>59</v>
      </c>
      <c r="K129" s="6" t="s">
        <v>289</v>
      </c>
      <c r="L129" s="6" t="s">
        <v>526</v>
      </c>
    </row>
    <row r="130" customFormat="false" ht="68.65" hidden="false" customHeight="false" outlineLevel="0" collapsed="false">
      <c r="A130" s="6" t="s">
        <v>184</v>
      </c>
      <c r="B130" s="6" t="s">
        <v>262</v>
      </c>
      <c r="C130" s="6" t="s">
        <v>50</v>
      </c>
      <c r="D130" s="6" t="s">
        <v>101</v>
      </c>
      <c r="E130" s="6"/>
      <c r="F130" s="6" t="s">
        <v>531</v>
      </c>
      <c r="G130" s="6" t="s">
        <v>532</v>
      </c>
      <c r="H130" s="6" t="s">
        <v>533</v>
      </c>
      <c r="I130" s="6" t="s">
        <v>534</v>
      </c>
      <c r="J130" s="6" t="s">
        <v>45</v>
      </c>
      <c r="K130" s="6" t="s">
        <v>267</v>
      </c>
      <c r="L130" s="6" t="s">
        <v>535</v>
      </c>
    </row>
    <row r="131" customFormat="false" ht="35.05" hidden="false" customHeight="false" outlineLevel="0" collapsed="false">
      <c r="A131" s="6" t="s">
        <v>184</v>
      </c>
      <c r="B131" s="6" t="s">
        <v>269</v>
      </c>
      <c r="C131" s="6" t="s">
        <v>39</v>
      </c>
      <c r="D131" s="6" t="s">
        <v>270</v>
      </c>
      <c r="E131" s="6"/>
      <c r="F131" s="6"/>
      <c r="G131" s="6" t="s">
        <v>532</v>
      </c>
      <c r="H131" s="6" t="s">
        <v>533</v>
      </c>
      <c r="I131" s="6" t="s">
        <v>534</v>
      </c>
      <c r="J131" s="6" t="s">
        <v>45</v>
      </c>
      <c r="K131" s="6" t="s">
        <v>267</v>
      </c>
      <c r="L131" s="6" t="s">
        <v>535</v>
      </c>
    </row>
    <row r="132" customFormat="false" ht="35.05" hidden="false" customHeight="false" outlineLevel="0" collapsed="false">
      <c r="A132" s="6" t="s">
        <v>184</v>
      </c>
      <c r="B132" s="6" t="s">
        <v>273</v>
      </c>
      <c r="C132" s="6" t="s">
        <v>39</v>
      </c>
      <c r="D132" s="6" t="s">
        <v>270</v>
      </c>
      <c r="E132" s="6"/>
      <c r="F132" s="6"/>
      <c r="G132" s="6" t="s">
        <v>532</v>
      </c>
      <c r="H132" s="6" t="s">
        <v>533</v>
      </c>
      <c r="I132" s="6" t="s">
        <v>534</v>
      </c>
      <c r="J132" s="6" t="s">
        <v>45</v>
      </c>
      <c r="K132" s="6" t="s">
        <v>267</v>
      </c>
      <c r="L132" s="6" t="s">
        <v>535</v>
      </c>
    </row>
    <row r="133" customFormat="false" ht="35.05" hidden="false" customHeight="false" outlineLevel="0" collapsed="false">
      <c r="A133" s="6" t="s">
        <v>184</v>
      </c>
      <c r="B133" s="6" t="s">
        <v>276</v>
      </c>
      <c r="C133" s="6" t="s">
        <v>39</v>
      </c>
      <c r="D133" s="6" t="s">
        <v>270</v>
      </c>
      <c r="E133" s="6"/>
      <c r="F133" s="6"/>
      <c r="G133" s="6" t="s">
        <v>532</v>
      </c>
      <c r="H133" s="6" t="s">
        <v>533</v>
      </c>
      <c r="I133" s="6" t="s">
        <v>534</v>
      </c>
      <c r="J133" s="6" t="s">
        <v>45</v>
      </c>
      <c r="K133" s="6" t="s">
        <v>267</v>
      </c>
      <c r="L133" s="6" t="s">
        <v>535</v>
      </c>
    </row>
    <row r="134" customFormat="false" ht="113.4" hidden="false" customHeight="false" outlineLevel="0" collapsed="false">
      <c r="A134" s="6" t="s">
        <v>187</v>
      </c>
      <c r="B134" s="6" t="s">
        <v>262</v>
      </c>
      <c r="C134" s="6" t="s">
        <v>50</v>
      </c>
      <c r="D134" s="6" t="s">
        <v>37</v>
      </c>
      <c r="E134" s="6"/>
      <c r="F134" s="6" t="s">
        <v>536</v>
      </c>
      <c r="G134" s="6" t="s">
        <v>537</v>
      </c>
      <c r="H134" s="6" t="s">
        <v>538</v>
      </c>
      <c r="I134" s="6" t="s">
        <v>539</v>
      </c>
      <c r="J134" s="6" t="s">
        <v>45</v>
      </c>
      <c r="K134" s="6" t="s">
        <v>469</v>
      </c>
      <c r="L134" s="6" t="s">
        <v>540</v>
      </c>
    </row>
    <row r="135" customFormat="false" ht="113.4" hidden="false" customHeight="false" outlineLevel="0" collapsed="false">
      <c r="A135" s="6" t="s">
        <v>187</v>
      </c>
      <c r="B135" s="6" t="s">
        <v>269</v>
      </c>
      <c r="C135" s="6" t="s">
        <v>50</v>
      </c>
      <c r="D135" s="6" t="s">
        <v>37</v>
      </c>
      <c r="E135" s="6"/>
      <c r="F135" s="6"/>
      <c r="G135" s="6" t="s">
        <v>541</v>
      </c>
      <c r="H135" s="6" t="s">
        <v>538</v>
      </c>
      <c r="I135" s="6" t="s">
        <v>539</v>
      </c>
      <c r="J135" s="6" t="s">
        <v>45</v>
      </c>
      <c r="K135" s="6" t="s">
        <v>469</v>
      </c>
      <c r="L135" s="6" t="s">
        <v>540</v>
      </c>
    </row>
    <row r="136" customFormat="false" ht="113.4" hidden="false" customHeight="false" outlineLevel="0" collapsed="false">
      <c r="A136" s="6" t="s">
        <v>187</v>
      </c>
      <c r="B136" s="6" t="s">
        <v>273</v>
      </c>
      <c r="C136" s="6" t="s">
        <v>91</v>
      </c>
      <c r="D136" s="6" t="s">
        <v>37</v>
      </c>
      <c r="E136" s="6"/>
      <c r="F136" s="6"/>
      <c r="G136" s="6" t="s">
        <v>542</v>
      </c>
      <c r="H136" s="6" t="s">
        <v>538</v>
      </c>
      <c r="I136" s="6" t="s">
        <v>539</v>
      </c>
      <c r="J136" s="6" t="s">
        <v>45</v>
      </c>
      <c r="K136" s="6" t="s">
        <v>469</v>
      </c>
      <c r="L136" s="6" t="s">
        <v>540</v>
      </c>
    </row>
    <row r="137" customFormat="false" ht="113.4" hidden="false" customHeight="false" outlineLevel="0" collapsed="false">
      <c r="A137" s="6" t="s">
        <v>187</v>
      </c>
      <c r="B137" s="6" t="s">
        <v>276</v>
      </c>
      <c r="C137" s="6" t="s">
        <v>38</v>
      </c>
      <c r="D137" s="6" t="s">
        <v>270</v>
      </c>
      <c r="E137" s="6"/>
      <c r="F137" s="6"/>
      <c r="G137" s="6" t="s">
        <v>543</v>
      </c>
      <c r="H137" s="6" t="s">
        <v>538</v>
      </c>
      <c r="I137" s="6" t="s">
        <v>539</v>
      </c>
      <c r="J137" s="6" t="s">
        <v>45</v>
      </c>
      <c r="K137" s="6" t="s">
        <v>469</v>
      </c>
      <c r="L137" s="6" t="s">
        <v>540</v>
      </c>
    </row>
    <row r="138" customFormat="false" ht="91" hidden="false" customHeight="false" outlineLevel="0" collapsed="false">
      <c r="A138" s="6" t="s">
        <v>191</v>
      </c>
      <c r="B138" s="6" t="s">
        <v>262</v>
      </c>
      <c r="C138" s="6" t="s">
        <v>50</v>
      </c>
      <c r="D138" s="6" t="s">
        <v>49</v>
      </c>
      <c r="E138" s="6"/>
      <c r="F138" s="6" t="s">
        <v>544</v>
      </c>
      <c r="G138" s="6" t="s">
        <v>545</v>
      </c>
      <c r="H138" s="6" t="s">
        <v>546</v>
      </c>
      <c r="I138" s="6" t="s">
        <v>547</v>
      </c>
      <c r="J138" s="6" t="s">
        <v>45</v>
      </c>
      <c r="K138" s="6" t="s">
        <v>267</v>
      </c>
      <c r="L138" s="6" t="s">
        <v>548</v>
      </c>
    </row>
    <row r="139" customFormat="false" ht="23.85" hidden="false" customHeight="false" outlineLevel="0" collapsed="false">
      <c r="A139" s="6" t="s">
        <v>191</v>
      </c>
      <c r="B139" s="6" t="s">
        <v>269</v>
      </c>
      <c r="C139" s="6" t="s">
        <v>39</v>
      </c>
      <c r="D139" s="6" t="s">
        <v>270</v>
      </c>
      <c r="E139" s="6"/>
      <c r="F139" s="6"/>
      <c r="G139" s="6" t="s">
        <v>549</v>
      </c>
      <c r="H139" s="6" t="s">
        <v>550</v>
      </c>
      <c r="I139" s="6" t="s">
        <v>547</v>
      </c>
      <c r="J139" s="6" t="s">
        <v>45</v>
      </c>
      <c r="K139" s="6" t="s">
        <v>267</v>
      </c>
      <c r="L139" s="6" t="s">
        <v>548</v>
      </c>
    </row>
    <row r="140" customFormat="false" ht="23.85" hidden="false" customHeight="false" outlineLevel="0" collapsed="false">
      <c r="A140" s="6" t="s">
        <v>191</v>
      </c>
      <c r="B140" s="6" t="s">
        <v>273</v>
      </c>
      <c r="C140" s="6" t="s">
        <v>39</v>
      </c>
      <c r="D140" s="6" t="s">
        <v>270</v>
      </c>
      <c r="E140" s="6"/>
      <c r="F140" s="6"/>
      <c r="G140" s="6" t="s">
        <v>549</v>
      </c>
      <c r="H140" s="6" t="s">
        <v>550</v>
      </c>
      <c r="I140" s="6" t="s">
        <v>547</v>
      </c>
      <c r="J140" s="6" t="s">
        <v>45</v>
      </c>
      <c r="K140" s="6" t="s">
        <v>267</v>
      </c>
      <c r="L140" s="6" t="s">
        <v>548</v>
      </c>
    </row>
    <row r="141" customFormat="false" ht="23.85" hidden="false" customHeight="false" outlineLevel="0" collapsed="false">
      <c r="A141" s="6" t="s">
        <v>191</v>
      </c>
      <c r="B141" s="6" t="s">
        <v>276</v>
      </c>
      <c r="C141" s="6" t="s">
        <v>39</v>
      </c>
      <c r="D141" s="6" t="s">
        <v>270</v>
      </c>
      <c r="E141" s="6"/>
      <c r="F141" s="6"/>
      <c r="G141" s="6" t="s">
        <v>551</v>
      </c>
      <c r="H141" s="6" t="s">
        <v>552</v>
      </c>
      <c r="I141" s="6" t="s">
        <v>547</v>
      </c>
      <c r="J141" s="6" t="s">
        <v>45</v>
      </c>
      <c r="K141" s="6" t="s">
        <v>267</v>
      </c>
      <c r="L141" s="6" t="s">
        <v>548</v>
      </c>
    </row>
    <row r="142" customFormat="false" ht="102.2" hidden="false" customHeight="false" outlineLevel="0" collapsed="false">
      <c r="A142" s="6" t="s">
        <v>195</v>
      </c>
      <c r="B142" s="6" t="s">
        <v>262</v>
      </c>
      <c r="C142" s="6" t="s">
        <v>50</v>
      </c>
      <c r="D142" s="6" t="s">
        <v>49</v>
      </c>
      <c r="E142" s="6"/>
      <c r="F142" s="6" t="s">
        <v>553</v>
      </c>
      <c r="G142" s="6" t="s">
        <v>554</v>
      </c>
      <c r="H142" s="6" t="s">
        <v>555</v>
      </c>
      <c r="I142" s="6" t="s">
        <v>556</v>
      </c>
      <c r="J142" s="6" t="s">
        <v>45</v>
      </c>
      <c r="K142" s="6" t="s">
        <v>469</v>
      </c>
      <c r="L142" s="6" t="s">
        <v>557</v>
      </c>
    </row>
    <row r="143" customFormat="false" ht="102.2" hidden="false" customHeight="false" outlineLevel="0" collapsed="false">
      <c r="A143" s="6" t="s">
        <v>195</v>
      </c>
      <c r="B143" s="6" t="s">
        <v>269</v>
      </c>
      <c r="C143" s="6" t="s">
        <v>39</v>
      </c>
      <c r="D143" s="6" t="s">
        <v>270</v>
      </c>
      <c r="E143" s="6"/>
      <c r="F143" s="6"/>
      <c r="G143" s="6" t="s">
        <v>558</v>
      </c>
      <c r="H143" s="6" t="s">
        <v>555</v>
      </c>
      <c r="I143" s="6" t="s">
        <v>556</v>
      </c>
      <c r="J143" s="6" t="s">
        <v>45</v>
      </c>
      <c r="K143" s="6" t="s">
        <v>469</v>
      </c>
      <c r="L143" s="6" t="s">
        <v>557</v>
      </c>
    </row>
    <row r="144" customFormat="false" ht="102.2" hidden="false" customHeight="false" outlineLevel="0" collapsed="false">
      <c r="A144" s="6" t="s">
        <v>195</v>
      </c>
      <c r="B144" s="6" t="s">
        <v>273</v>
      </c>
      <c r="C144" s="6" t="s">
        <v>39</v>
      </c>
      <c r="D144" s="6" t="s">
        <v>270</v>
      </c>
      <c r="E144" s="6"/>
      <c r="F144" s="6"/>
      <c r="G144" s="6" t="s">
        <v>558</v>
      </c>
      <c r="H144" s="6" t="s">
        <v>555</v>
      </c>
      <c r="I144" s="6" t="s">
        <v>556</v>
      </c>
      <c r="J144" s="6" t="s">
        <v>45</v>
      </c>
      <c r="K144" s="6" t="s">
        <v>469</v>
      </c>
      <c r="L144" s="6" t="s">
        <v>557</v>
      </c>
    </row>
    <row r="145" customFormat="false" ht="102.2" hidden="false" customHeight="false" outlineLevel="0" collapsed="false">
      <c r="A145" s="6" t="s">
        <v>195</v>
      </c>
      <c r="B145" s="6" t="s">
        <v>276</v>
      </c>
      <c r="C145" s="6" t="s">
        <v>39</v>
      </c>
      <c r="D145" s="6" t="s">
        <v>270</v>
      </c>
      <c r="E145" s="6"/>
      <c r="F145" s="6"/>
      <c r="G145" s="6" t="s">
        <v>558</v>
      </c>
      <c r="H145" s="6" t="s">
        <v>555</v>
      </c>
      <c r="I145" s="6" t="s">
        <v>556</v>
      </c>
      <c r="J145" s="6" t="s">
        <v>45</v>
      </c>
      <c r="K145" s="6" t="s">
        <v>469</v>
      </c>
      <c r="L145" s="6" t="s">
        <v>557</v>
      </c>
    </row>
    <row r="146" customFormat="false" ht="102.2" hidden="false" customHeight="false" outlineLevel="0" collapsed="false">
      <c r="A146" s="6" t="s">
        <v>199</v>
      </c>
      <c r="B146" s="6" t="s">
        <v>262</v>
      </c>
      <c r="C146" s="6" t="s">
        <v>50</v>
      </c>
      <c r="D146" s="6" t="s">
        <v>49</v>
      </c>
      <c r="E146" s="6"/>
      <c r="F146" s="6" t="s">
        <v>559</v>
      </c>
      <c r="G146" s="6" t="s">
        <v>560</v>
      </c>
      <c r="H146" s="6" t="s">
        <v>561</v>
      </c>
      <c r="I146" s="6" t="s">
        <v>562</v>
      </c>
      <c r="J146" s="6" t="s">
        <v>45</v>
      </c>
      <c r="K146" s="6" t="s">
        <v>267</v>
      </c>
      <c r="L146" s="6" t="s">
        <v>563</v>
      </c>
    </row>
    <row r="147" customFormat="false" ht="46.25" hidden="false" customHeight="false" outlineLevel="0" collapsed="false">
      <c r="A147" s="6" t="s">
        <v>199</v>
      </c>
      <c r="B147" s="6" t="s">
        <v>269</v>
      </c>
      <c r="C147" s="6" t="s">
        <v>39</v>
      </c>
      <c r="D147" s="6" t="s">
        <v>270</v>
      </c>
      <c r="E147" s="6"/>
      <c r="F147" s="6"/>
      <c r="G147" s="6" t="s">
        <v>564</v>
      </c>
      <c r="H147" s="6" t="s">
        <v>565</v>
      </c>
      <c r="I147" s="6" t="s">
        <v>562</v>
      </c>
      <c r="J147" s="6" t="s">
        <v>45</v>
      </c>
      <c r="K147" s="6" t="s">
        <v>267</v>
      </c>
      <c r="L147" s="6" t="s">
        <v>563</v>
      </c>
    </row>
    <row r="148" customFormat="false" ht="46.25" hidden="false" customHeight="false" outlineLevel="0" collapsed="false">
      <c r="A148" s="6" t="s">
        <v>199</v>
      </c>
      <c r="B148" s="6" t="s">
        <v>273</v>
      </c>
      <c r="C148" s="6" t="s">
        <v>39</v>
      </c>
      <c r="D148" s="6" t="s">
        <v>270</v>
      </c>
      <c r="E148" s="6"/>
      <c r="F148" s="6"/>
      <c r="G148" s="6" t="s">
        <v>564</v>
      </c>
      <c r="H148" s="6" t="s">
        <v>565</v>
      </c>
      <c r="I148" s="6" t="s">
        <v>562</v>
      </c>
      <c r="J148" s="6" t="s">
        <v>45</v>
      </c>
      <c r="K148" s="6" t="s">
        <v>267</v>
      </c>
      <c r="L148" s="6" t="s">
        <v>563</v>
      </c>
    </row>
    <row r="149" customFormat="false" ht="46.25" hidden="false" customHeight="false" outlineLevel="0" collapsed="false">
      <c r="A149" s="6" t="s">
        <v>199</v>
      </c>
      <c r="B149" s="6" t="s">
        <v>276</v>
      </c>
      <c r="C149" s="6" t="s">
        <v>39</v>
      </c>
      <c r="D149" s="6" t="s">
        <v>270</v>
      </c>
      <c r="E149" s="6"/>
      <c r="F149" s="6"/>
      <c r="G149" s="6" t="s">
        <v>566</v>
      </c>
      <c r="H149" s="6" t="s">
        <v>567</v>
      </c>
      <c r="I149" s="6" t="s">
        <v>562</v>
      </c>
      <c r="J149" s="6" t="s">
        <v>45</v>
      </c>
      <c r="K149" s="6" t="s">
        <v>267</v>
      </c>
      <c r="L149" s="6" t="s">
        <v>563</v>
      </c>
    </row>
    <row r="150" customFormat="false" ht="102.2" hidden="false" customHeight="false" outlineLevel="0" collapsed="false">
      <c r="A150" s="6" t="s">
        <v>203</v>
      </c>
      <c r="B150" s="6" t="s">
        <v>262</v>
      </c>
      <c r="C150" s="6" t="s">
        <v>50</v>
      </c>
      <c r="D150" s="6" t="s">
        <v>49</v>
      </c>
      <c r="E150" s="6"/>
      <c r="F150" s="6" t="s">
        <v>568</v>
      </c>
      <c r="G150" s="6" t="s">
        <v>569</v>
      </c>
      <c r="H150" s="6" t="s">
        <v>570</v>
      </c>
      <c r="I150" s="6" t="s">
        <v>571</v>
      </c>
      <c r="J150" s="6" t="s">
        <v>45</v>
      </c>
      <c r="K150" s="6" t="s">
        <v>267</v>
      </c>
      <c r="L150" s="6" t="s">
        <v>572</v>
      </c>
    </row>
    <row r="151" customFormat="false" ht="46.25" hidden="false" customHeight="false" outlineLevel="0" collapsed="false">
      <c r="A151" s="6" t="s">
        <v>203</v>
      </c>
      <c r="B151" s="6" t="s">
        <v>269</v>
      </c>
      <c r="C151" s="6" t="s">
        <v>91</v>
      </c>
      <c r="D151" s="6" t="s">
        <v>101</v>
      </c>
      <c r="E151" s="6"/>
      <c r="F151" s="6"/>
      <c r="G151" s="6" t="s">
        <v>573</v>
      </c>
      <c r="H151" s="6" t="s">
        <v>574</v>
      </c>
      <c r="I151" s="6" t="s">
        <v>571</v>
      </c>
      <c r="J151" s="6" t="s">
        <v>45</v>
      </c>
      <c r="K151" s="6" t="s">
        <v>267</v>
      </c>
      <c r="L151" s="6" t="s">
        <v>572</v>
      </c>
    </row>
    <row r="152" customFormat="false" ht="46.25" hidden="false" customHeight="false" outlineLevel="0" collapsed="false">
      <c r="A152" s="6" t="s">
        <v>203</v>
      </c>
      <c r="B152" s="6" t="s">
        <v>273</v>
      </c>
      <c r="C152" s="6" t="s">
        <v>39</v>
      </c>
      <c r="D152" s="6" t="s">
        <v>270</v>
      </c>
      <c r="E152" s="6"/>
      <c r="F152" s="6"/>
      <c r="G152" s="6" t="s">
        <v>575</v>
      </c>
      <c r="H152" s="6" t="s">
        <v>576</v>
      </c>
      <c r="I152" s="6" t="s">
        <v>571</v>
      </c>
      <c r="J152" s="6" t="s">
        <v>45</v>
      </c>
      <c r="K152" s="6" t="s">
        <v>267</v>
      </c>
      <c r="L152" s="6" t="s">
        <v>572</v>
      </c>
    </row>
    <row r="153" customFormat="false" ht="46.25" hidden="false" customHeight="false" outlineLevel="0" collapsed="false">
      <c r="A153" s="6" t="s">
        <v>203</v>
      </c>
      <c r="B153" s="6" t="s">
        <v>276</v>
      </c>
      <c r="C153" s="6" t="s">
        <v>91</v>
      </c>
      <c r="D153" s="6" t="s">
        <v>101</v>
      </c>
      <c r="E153" s="6"/>
      <c r="F153" s="6"/>
      <c r="G153" s="6" t="s">
        <v>575</v>
      </c>
      <c r="H153" s="6" t="s">
        <v>576</v>
      </c>
      <c r="I153" s="6" t="s">
        <v>571</v>
      </c>
      <c r="J153" s="6" t="s">
        <v>45</v>
      </c>
      <c r="K153" s="6" t="s">
        <v>267</v>
      </c>
      <c r="L153" s="6" t="s">
        <v>572</v>
      </c>
    </row>
    <row r="154" customFormat="false" ht="91" hidden="false" customHeight="false" outlineLevel="0" collapsed="false">
      <c r="A154" s="6" t="s">
        <v>207</v>
      </c>
      <c r="B154" s="6" t="s">
        <v>262</v>
      </c>
      <c r="C154" s="6" t="s">
        <v>50</v>
      </c>
      <c r="D154" s="6" t="s">
        <v>101</v>
      </c>
      <c r="E154" s="6" t="s">
        <v>577</v>
      </c>
      <c r="F154" s="6" t="s">
        <v>578</v>
      </c>
      <c r="G154" s="6" t="s">
        <v>579</v>
      </c>
      <c r="H154" s="6" t="s">
        <v>580</v>
      </c>
      <c r="I154" s="6" t="s">
        <v>581</v>
      </c>
      <c r="J154" s="6" t="s">
        <v>45</v>
      </c>
      <c r="K154" s="6" t="s">
        <v>469</v>
      </c>
      <c r="L154" s="6" t="s">
        <v>582</v>
      </c>
    </row>
    <row r="155" customFormat="false" ht="68.65" hidden="false" customHeight="false" outlineLevel="0" collapsed="false">
      <c r="A155" s="6" t="s">
        <v>207</v>
      </c>
      <c r="B155" s="6" t="s">
        <v>269</v>
      </c>
      <c r="C155" s="6" t="s">
        <v>39</v>
      </c>
      <c r="D155" s="6" t="s">
        <v>270</v>
      </c>
      <c r="E155" s="6"/>
      <c r="F155" s="6"/>
      <c r="G155" s="6" t="s">
        <v>583</v>
      </c>
      <c r="H155" s="6" t="s">
        <v>584</v>
      </c>
      <c r="I155" s="6" t="s">
        <v>581</v>
      </c>
      <c r="J155" s="6" t="s">
        <v>45</v>
      </c>
      <c r="K155" s="6" t="s">
        <v>469</v>
      </c>
      <c r="L155" s="6" t="s">
        <v>582</v>
      </c>
    </row>
    <row r="156" customFormat="false" ht="68.65" hidden="false" customHeight="false" outlineLevel="0" collapsed="false">
      <c r="A156" s="6" t="s">
        <v>207</v>
      </c>
      <c r="B156" s="6" t="s">
        <v>273</v>
      </c>
      <c r="C156" s="6" t="s">
        <v>39</v>
      </c>
      <c r="D156" s="6" t="s">
        <v>270</v>
      </c>
      <c r="E156" s="6" t="s">
        <v>585</v>
      </c>
      <c r="F156" s="6"/>
      <c r="G156" s="6" t="s">
        <v>586</v>
      </c>
      <c r="H156" s="6" t="s">
        <v>587</v>
      </c>
      <c r="I156" s="6" t="s">
        <v>581</v>
      </c>
      <c r="J156" s="6" t="s">
        <v>45</v>
      </c>
      <c r="K156" s="6" t="s">
        <v>469</v>
      </c>
      <c r="L156" s="6" t="s">
        <v>582</v>
      </c>
    </row>
    <row r="157" customFormat="false" ht="68.65" hidden="false" customHeight="false" outlineLevel="0" collapsed="false">
      <c r="A157" s="6" t="s">
        <v>207</v>
      </c>
      <c r="B157" s="6" t="s">
        <v>276</v>
      </c>
      <c r="C157" s="6" t="s">
        <v>39</v>
      </c>
      <c r="D157" s="6" t="s">
        <v>270</v>
      </c>
      <c r="E157" s="6"/>
      <c r="F157" s="6"/>
      <c r="G157" s="6" t="s">
        <v>583</v>
      </c>
      <c r="H157" s="6" t="s">
        <v>584</v>
      </c>
      <c r="I157" s="6" t="s">
        <v>581</v>
      </c>
      <c r="J157" s="6" t="s">
        <v>45</v>
      </c>
      <c r="K157" s="6" t="s">
        <v>469</v>
      </c>
      <c r="L157" s="6" t="s">
        <v>582</v>
      </c>
    </row>
    <row r="158" customFormat="false" ht="102.2" hidden="false" customHeight="false" outlineLevel="0" collapsed="false">
      <c r="A158" s="6" t="s">
        <v>212</v>
      </c>
      <c r="B158" s="6" t="s">
        <v>262</v>
      </c>
      <c r="C158" s="6" t="s">
        <v>50</v>
      </c>
      <c r="D158" s="6" t="s">
        <v>101</v>
      </c>
      <c r="E158" s="6"/>
      <c r="F158" s="6" t="s">
        <v>588</v>
      </c>
      <c r="G158" s="6" t="s">
        <v>589</v>
      </c>
      <c r="H158" s="6" t="s">
        <v>590</v>
      </c>
      <c r="I158" s="6" t="s">
        <v>591</v>
      </c>
      <c r="J158" s="6" t="s">
        <v>45</v>
      </c>
      <c r="K158" s="6" t="s">
        <v>267</v>
      </c>
      <c r="L158" s="6" t="s">
        <v>592</v>
      </c>
    </row>
    <row r="159" customFormat="false" ht="35.05" hidden="false" customHeight="false" outlineLevel="0" collapsed="false">
      <c r="A159" s="6" t="s">
        <v>212</v>
      </c>
      <c r="B159" s="6" t="s">
        <v>269</v>
      </c>
      <c r="C159" s="6" t="s">
        <v>39</v>
      </c>
      <c r="D159" s="6" t="s">
        <v>270</v>
      </c>
      <c r="E159" s="6"/>
      <c r="F159" s="6"/>
      <c r="G159" s="6" t="s">
        <v>593</v>
      </c>
      <c r="H159" s="6" t="s">
        <v>594</v>
      </c>
      <c r="I159" s="6" t="s">
        <v>591</v>
      </c>
      <c r="J159" s="6" t="s">
        <v>45</v>
      </c>
      <c r="K159" s="6" t="s">
        <v>267</v>
      </c>
      <c r="L159" s="6" t="s">
        <v>592</v>
      </c>
    </row>
    <row r="160" customFormat="false" ht="35.05" hidden="false" customHeight="false" outlineLevel="0" collapsed="false">
      <c r="A160" s="6" t="s">
        <v>212</v>
      </c>
      <c r="B160" s="6" t="s">
        <v>273</v>
      </c>
      <c r="C160" s="6" t="s">
        <v>39</v>
      </c>
      <c r="D160" s="6" t="s">
        <v>270</v>
      </c>
      <c r="E160" s="6"/>
      <c r="F160" s="6"/>
      <c r="G160" s="6" t="s">
        <v>593</v>
      </c>
      <c r="H160" s="6" t="s">
        <v>594</v>
      </c>
      <c r="I160" s="6" t="s">
        <v>591</v>
      </c>
      <c r="J160" s="6" t="s">
        <v>45</v>
      </c>
      <c r="K160" s="6" t="s">
        <v>267</v>
      </c>
      <c r="L160" s="6" t="s">
        <v>592</v>
      </c>
    </row>
    <row r="161" customFormat="false" ht="35.05" hidden="false" customHeight="false" outlineLevel="0" collapsed="false">
      <c r="A161" s="6" t="s">
        <v>212</v>
      </c>
      <c r="B161" s="6" t="s">
        <v>276</v>
      </c>
      <c r="C161" s="6" t="s">
        <v>39</v>
      </c>
      <c r="D161" s="6" t="s">
        <v>270</v>
      </c>
      <c r="E161" s="6"/>
      <c r="F161" s="6"/>
      <c r="G161" s="6" t="s">
        <v>593</v>
      </c>
      <c r="H161" s="6" t="s">
        <v>594</v>
      </c>
      <c r="I161" s="6" t="s">
        <v>591</v>
      </c>
      <c r="J161" s="6" t="s">
        <v>45</v>
      </c>
      <c r="K161" s="6" t="s">
        <v>267</v>
      </c>
      <c r="L161" s="6" t="s">
        <v>592</v>
      </c>
    </row>
    <row r="162" customFormat="false" ht="68.65" hidden="false" customHeight="false" outlineLevel="0" collapsed="false">
      <c r="A162" s="6" t="s">
        <v>216</v>
      </c>
      <c r="B162" s="6" t="s">
        <v>262</v>
      </c>
      <c r="C162" s="6" t="s">
        <v>50</v>
      </c>
      <c r="D162" s="6" t="s">
        <v>49</v>
      </c>
      <c r="E162" s="6"/>
      <c r="F162" s="6" t="s">
        <v>595</v>
      </c>
      <c r="G162" s="6" t="s">
        <v>596</v>
      </c>
      <c r="H162" s="6" t="s">
        <v>597</v>
      </c>
      <c r="I162" s="6" t="s">
        <v>598</v>
      </c>
      <c r="J162" s="6" t="s">
        <v>45</v>
      </c>
      <c r="K162" s="6" t="s">
        <v>267</v>
      </c>
      <c r="L162" s="6" t="s">
        <v>599</v>
      </c>
    </row>
    <row r="163" customFormat="false" ht="46.25" hidden="false" customHeight="false" outlineLevel="0" collapsed="false">
      <c r="A163" s="6" t="s">
        <v>216</v>
      </c>
      <c r="B163" s="6" t="s">
        <v>269</v>
      </c>
      <c r="C163" s="6" t="s">
        <v>39</v>
      </c>
      <c r="D163" s="6" t="s">
        <v>270</v>
      </c>
      <c r="E163" s="6"/>
      <c r="F163" s="6"/>
      <c r="G163" s="6" t="s">
        <v>600</v>
      </c>
      <c r="H163" s="6" t="s">
        <v>601</v>
      </c>
      <c r="I163" s="6" t="s">
        <v>598</v>
      </c>
      <c r="J163" s="6" t="s">
        <v>45</v>
      </c>
      <c r="K163" s="6" t="s">
        <v>267</v>
      </c>
      <c r="L163" s="6" t="s">
        <v>599</v>
      </c>
    </row>
    <row r="164" customFormat="false" ht="46.25" hidden="false" customHeight="false" outlineLevel="0" collapsed="false">
      <c r="A164" s="6" t="s">
        <v>216</v>
      </c>
      <c r="B164" s="6" t="s">
        <v>273</v>
      </c>
      <c r="C164" s="6" t="s">
        <v>39</v>
      </c>
      <c r="D164" s="6" t="s">
        <v>270</v>
      </c>
      <c r="E164" s="6"/>
      <c r="F164" s="6"/>
      <c r="G164" s="6" t="s">
        <v>600</v>
      </c>
      <c r="H164" s="6" t="s">
        <v>601</v>
      </c>
      <c r="I164" s="6" t="s">
        <v>598</v>
      </c>
      <c r="J164" s="6" t="s">
        <v>45</v>
      </c>
      <c r="K164" s="6" t="s">
        <v>267</v>
      </c>
      <c r="L164" s="6" t="s">
        <v>599</v>
      </c>
    </row>
    <row r="165" customFormat="false" ht="46.25" hidden="false" customHeight="false" outlineLevel="0" collapsed="false">
      <c r="A165" s="6" t="s">
        <v>216</v>
      </c>
      <c r="B165" s="6" t="s">
        <v>276</v>
      </c>
      <c r="C165" s="6" t="s">
        <v>39</v>
      </c>
      <c r="D165" s="6" t="s">
        <v>270</v>
      </c>
      <c r="E165" s="6"/>
      <c r="F165" s="6"/>
      <c r="G165" s="6" t="s">
        <v>602</v>
      </c>
      <c r="H165" s="6" t="s">
        <v>597</v>
      </c>
      <c r="I165" s="6" t="s">
        <v>598</v>
      </c>
      <c r="J165" s="6" t="s">
        <v>45</v>
      </c>
      <c r="K165" s="6" t="s">
        <v>267</v>
      </c>
      <c r="L165" s="6" t="s">
        <v>599</v>
      </c>
    </row>
    <row r="166" customFormat="false" ht="91" hidden="false" customHeight="false" outlineLevel="0" collapsed="false">
      <c r="A166" s="6" t="s">
        <v>218</v>
      </c>
      <c r="B166" s="6" t="s">
        <v>262</v>
      </c>
      <c r="C166" s="6" t="s">
        <v>50</v>
      </c>
      <c r="D166" s="6" t="s">
        <v>101</v>
      </c>
      <c r="E166" s="6"/>
      <c r="F166" s="6" t="s">
        <v>603</v>
      </c>
      <c r="G166" s="6" t="s">
        <v>604</v>
      </c>
      <c r="H166" s="6" t="s">
        <v>605</v>
      </c>
      <c r="I166" s="6" t="s">
        <v>606</v>
      </c>
      <c r="J166" s="6" t="s">
        <v>59</v>
      </c>
      <c r="K166" s="6" t="s">
        <v>289</v>
      </c>
      <c r="L166" s="6" t="s">
        <v>607</v>
      </c>
    </row>
    <row r="167" customFormat="false" ht="91" hidden="false" customHeight="false" outlineLevel="0" collapsed="false">
      <c r="A167" s="6" t="s">
        <v>218</v>
      </c>
      <c r="B167" s="6" t="s">
        <v>269</v>
      </c>
      <c r="C167" s="6" t="s">
        <v>39</v>
      </c>
      <c r="D167" s="6" t="s">
        <v>270</v>
      </c>
      <c r="E167" s="6"/>
      <c r="F167" s="6"/>
      <c r="G167" s="6" t="s">
        <v>608</v>
      </c>
      <c r="H167" s="6" t="s">
        <v>609</v>
      </c>
      <c r="I167" s="6" t="s">
        <v>606</v>
      </c>
      <c r="J167" s="6" t="s">
        <v>59</v>
      </c>
      <c r="K167" s="6" t="s">
        <v>289</v>
      </c>
      <c r="L167" s="6" t="s">
        <v>607</v>
      </c>
    </row>
    <row r="168" customFormat="false" ht="91" hidden="false" customHeight="false" outlineLevel="0" collapsed="false">
      <c r="A168" s="6" t="s">
        <v>218</v>
      </c>
      <c r="B168" s="6" t="s">
        <v>273</v>
      </c>
      <c r="C168" s="6" t="s">
        <v>39</v>
      </c>
      <c r="D168" s="6" t="s">
        <v>270</v>
      </c>
      <c r="E168" s="6"/>
      <c r="F168" s="6"/>
      <c r="G168" s="6" t="s">
        <v>610</v>
      </c>
      <c r="H168" s="6" t="s">
        <v>611</v>
      </c>
      <c r="I168" s="6" t="s">
        <v>606</v>
      </c>
      <c r="J168" s="6" t="s">
        <v>59</v>
      </c>
      <c r="K168" s="6" t="s">
        <v>289</v>
      </c>
      <c r="L168" s="6" t="s">
        <v>607</v>
      </c>
    </row>
    <row r="169" customFormat="false" ht="91" hidden="false" customHeight="false" outlineLevel="0" collapsed="false">
      <c r="A169" s="6" t="s">
        <v>218</v>
      </c>
      <c r="B169" s="6" t="s">
        <v>276</v>
      </c>
      <c r="C169" s="6" t="s">
        <v>39</v>
      </c>
      <c r="D169" s="6" t="s">
        <v>270</v>
      </c>
      <c r="E169" s="6"/>
      <c r="F169" s="6"/>
      <c r="G169" s="6" t="s">
        <v>612</v>
      </c>
      <c r="H169" s="6" t="s">
        <v>613</v>
      </c>
      <c r="I169" s="6" t="s">
        <v>606</v>
      </c>
      <c r="J169" s="6" t="s">
        <v>59</v>
      </c>
      <c r="K169" s="6" t="s">
        <v>289</v>
      </c>
      <c r="L169" s="6" t="s">
        <v>607</v>
      </c>
    </row>
    <row r="170" customFormat="false" ht="102.2" hidden="false" customHeight="false" outlineLevel="0" collapsed="false">
      <c r="A170" s="6" t="s">
        <v>220</v>
      </c>
      <c r="B170" s="6" t="s">
        <v>262</v>
      </c>
      <c r="C170" s="6" t="s">
        <v>50</v>
      </c>
      <c r="D170" s="6" t="s">
        <v>101</v>
      </c>
      <c r="E170" s="6"/>
      <c r="F170" s="6" t="s">
        <v>614</v>
      </c>
      <c r="G170" s="6" t="s">
        <v>615</v>
      </c>
      <c r="H170" s="6" t="s">
        <v>616</v>
      </c>
      <c r="I170" s="6" t="s">
        <v>617</v>
      </c>
      <c r="J170" s="6" t="s">
        <v>45</v>
      </c>
      <c r="K170" s="6" t="s">
        <v>267</v>
      </c>
      <c r="L170" s="6" t="s">
        <v>618</v>
      </c>
    </row>
    <row r="171" customFormat="false" ht="57.45" hidden="false" customHeight="false" outlineLevel="0" collapsed="false">
      <c r="A171" s="6" t="s">
        <v>220</v>
      </c>
      <c r="B171" s="6" t="s">
        <v>269</v>
      </c>
      <c r="C171" s="6" t="s">
        <v>39</v>
      </c>
      <c r="D171" s="6" t="s">
        <v>270</v>
      </c>
      <c r="E171" s="6"/>
      <c r="F171" s="6"/>
      <c r="G171" s="6" t="s">
        <v>619</v>
      </c>
      <c r="H171" s="6" t="s">
        <v>620</v>
      </c>
      <c r="I171" s="6" t="s">
        <v>617</v>
      </c>
      <c r="J171" s="6" t="s">
        <v>45</v>
      </c>
      <c r="K171" s="6" t="s">
        <v>267</v>
      </c>
      <c r="L171" s="6" t="s">
        <v>618</v>
      </c>
    </row>
    <row r="172" customFormat="false" ht="57.45" hidden="false" customHeight="false" outlineLevel="0" collapsed="false">
      <c r="A172" s="6" t="s">
        <v>220</v>
      </c>
      <c r="B172" s="6" t="s">
        <v>273</v>
      </c>
      <c r="C172" s="6" t="s">
        <v>39</v>
      </c>
      <c r="D172" s="6" t="s">
        <v>270</v>
      </c>
      <c r="E172" s="6"/>
      <c r="F172" s="6"/>
      <c r="G172" s="6" t="s">
        <v>619</v>
      </c>
      <c r="H172" s="6" t="s">
        <v>620</v>
      </c>
      <c r="I172" s="6" t="s">
        <v>617</v>
      </c>
      <c r="J172" s="6" t="s">
        <v>45</v>
      </c>
      <c r="K172" s="6" t="s">
        <v>267</v>
      </c>
      <c r="L172" s="6" t="s">
        <v>618</v>
      </c>
    </row>
    <row r="173" customFormat="false" ht="57.45" hidden="false" customHeight="false" outlineLevel="0" collapsed="false">
      <c r="A173" s="6" t="s">
        <v>220</v>
      </c>
      <c r="B173" s="6" t="s">
        <v>276</v>
      </c>
      <c r="C173" s="6" t="s">
        <v>39</v>
      </c>
      <c r="D173" s="6" t="s">
        <v>270</v>
      </c>
      <c r="E173" s="6"/>
      <c r="F173" s="6"/>
      <c r="G173" s="6" t="s">
        <v>621</v>
      </c>
      <c r="H173" s="6" t="s">
        <v>622</v>
      </c>
      <c r="I173" s="6" t="s">
        <v>617</v>
      </c>
      <c r="J173" s="6" t="s">
        <v>45</v>
      </c>
      <c r="K173" s="6" t="s">
        <v>267</v>
      </c>
      <c r="L173" s="6" t="s">
        <v>618</v>
      </c>
    </row>
    <row r="174" customFormat="false" ht="91" hidden="false" customHeight="false" outlineLevel="0" collapsed="false">
      <c r="A174" s="6" t="s">
        <v>226</v>
      </c>
      <c r="B174" s="6" t="s">
        <v>262</v>
      </c>
      <c r="C174" s="6" t="s">
        <v>50</v>
      </c>
      <c r="D174" s="6" t="s">
        <v>49</v>
      </c>
      <c r="E174" s="6"/>
      <c r="F174" s="6" t="s">
        <v>623</v>
      </c>
      <c r="G174" s="6" t="s">
        <v>624</v>
      </c>
      <c r="H174" s="6" t="s">
        <v>625</v>
      </c>
      <c r="I174" s="6" t="s">
        <v>626</v>
      </c>
      <c r="J174" s="6" t="s">
        <v>45</v>
      </c>
      <c r="K174" s="6" t="s">
        <v>267</v>
      </c>
      <c r="L174" s="6" t="s">
        <v>627</v>
      </c>
    </row>
    <row r="175" customFormat="false" ht="46.25" hidden="false" customHeight="false" outlineLevel="0" collapsed="false">
      <c r="A175" s="6" t="s">
        <v>226</v>
      </c>
      <c r="B175" s="6" t="s">
        <v>269</v>
      </c>
      <c r="C175" s="6" t="s">
        <v>39</v>
      </c>
      <c r="D175" s="6" t="s">
        <v>270</v>
      </c>
      <c r="E175" s="6"/>
      <c r="F175" s="6"/>
      <c r="G175" s="6" t="s">
        <v>628</v>
      </c>
      <c r="H175" s="6" t="s">
        <v>629</v>
      </c>
      <c r="I175" s="6" t="s">
        <v>626</v>
      </c>
      <c r="J175" s="6" t="s">
        <v>45</v>
      </c>
      <c r="K175" s="6" t="s">
        <v>267</v>
      </c>
      <c r="L175" s="6" t="s">
        <v>627</v>
      </c>
    </row>
    <row r="176" customFormat="false" ht="46.25" hidden="false" customHeight="false" outlineLevel="0" collapsed="false">
      <c r="A176" s="6" t="s">
        <v>226</v>
      </c>
      <c r="B176" s="6" t="s">
        <v>273</v>
      </c>
      <c r="C176" s="6" t="s">
        <v>39</v>
      </c>
      <c r="D176" s="6" t="s">
        <v>270</v>
      </c>
      <c r="E176" s="6"/>
      <c r="F176" s="6"/>
      <c r="G176" s="6" t="s">
        <v>628</v>
      </c>
      <c r="H176" s="6" t="s">
        <v>629</v>
      </c>
      <c r="I176" s="6" t="s">
        <v>626</v>
      </c>
      <c r="J176" s="6" t="s">
        <v>45</v>
      </c>
      <c r="K176" s="6" t="s">
        <v>267</v>
      </c>
      <c r="L176" s="6" t="s">
        <v>627</v>
      </c>
    </row>
    <row r="177" customFormat="false" ht="46.25" hidden="false" customHeight="false" outlineLevel="0" collapsed="false">
      <c r="A177" s="6" t="s">
        <v>226</v>
      </c>
      <c r="B177" s="6" t="s">
        <v>276</v>
      </c>
      <c r="C177" s="6" t="s">
        <v>39</v>
      </c>
      <c r="D177" s="6" t="s">
        <v>270</v>
      </c>
      <c r="E177" s="6"/>
      <c r="F177" s="6"/>
      <c r="G177" s="6" t="s">
        <v>630</v>
      </c>
      <c r="H177" s="6" t="s">
        <v>631</v>
      </c>
      <c r="I177" s="6" t="s">
        <v>626</v>
      </c>
      <c r="J177" s="6" t="s">
        <v>45</v>
      </c>
      <c r="K177" s="6" t="s">
        <v>267</v>
      </c>
      <c r="L177" s="6" t="s">
        <v>627</v>
      </c>
    </row>
    <row r="178" customFormat="false" ht="79.85" hidden="false" customHeight="false" outlineLevel="0" collapsed="false">
      <c r="A178" s="6" t="s">
        <v>230</v>
      </c>
      <c r="B178" s="6" t="s">
        <v>262</v>
      </c>
      <c r="C178" s="6" t="s">
        <v>50</v>
      </c>
      <c r="D178" s="6" t="s">
        <v>101</v>
      </c>
      <c r="E178" s="6"/>
      <c r="F178" s="6" t="s">
        <v>632</v>
      </c>
      <c r="G178" s="6" t="s">
        <v>633</v>
      </c>
      <c r="H178" s="6" t="s">
        <v>634</v>
      </c>
      <c r="I178" s="6" t="s">
        <v>635</v>
      </c>
      <c r="J178" s="6" t="s">
        <v>45</v>
      </c>
      <c r="K178" s="6" t="s">
        <v>267</v>
      </c>
      <c r="L178" s="6" t="s">
        <v>636</v>
      </c>
    </row>
    <row r="179" customFormat="false" ht="46.25" hidden="false" customHeight="false" outlineLevel="0" collapsed="false">
      <c r="A179" s="6" t="s">
        <v>230</v>
      </c>
      <c r="B179" s="6" t="s">
        <v>269</v>
      </c>
      <c r="C179" s="6" t="s">
        <v>91</v>
      </c>
      <c r="D179" s="6" t="s">
        <v>101</v>
      </c>
      <c r="E179" s="6"/>
      <c r="F179" s="6"/>
      <c r="G179" s="6" t="s">
        <v>637</v>
      </c>
      <c r="H179" s="6" t="s">
        <v>634</v>
      </c>
      <c r="I179" s="6" t="s">
        <v>635</v>
      </c>
      <c r="J179" s="6" t="s">
        <v>45</v>
      </c>
      <c r="K179" s="6" t="s">
        <v>267</v>
      </c>
      <c r="L179" s="6" t="s">
        <v>636</v>
      </c>
    </row>
    <row r="180" customFormat="false" ht="46.25" hidden="false" customHeight="false" outlineLevel="0" collapsed="false">
      <c r="A180" s="6" t="s">
        <v>230</v>
      </c>
      <c r="B180" s="6" t="s">
        <v>273</v>
      </c>
      <c r="C180" s="6" t="s">
        <v>91</v>
      </c>
      <c r="D180" s="6" t="s">
        <v>101</v>
      </c>
      <c r="E180" s="6"/>
      <c r="F180" s="6"/>
      <c r="G180" s="6" t="s">
        <v>637</v>
      </c>
      <c r="H180" s="6" t="s">
        <v>634</v>
      </c>
      <c r="I180" s="6" t="s">
        <v>635</v>
      </c>
      <c r="J180" s="6" t="s">
        <v>45</v>
      </c>
      <c r="K180" s="6" t="s">
        <v>267</v>
      </c>
      <c r="L180" s="6" t="s">
        <v>636</v>
      </c>
    </row>
    <row r="181" customFormat="false" ht="46.25" hidden="false" customHeight="false" outlineLevel="0" collapsed="false">
      <c r="A181" s="6" t="s">
        <v>230</v>
      </c>
      <c r="B181" s="6" t="s">
        <v>276</v>
      </c>
      <c r="C181" s="6" t="s">
        <v>39</v>
      </c>
      <c r="D181" s="6" t="s">
        <v>270</v>
      </c>
      <c r="E181" s="6"/>
      <c r="F181" s="6"/>
      <c r="G181" s="6" t="s">
        <v>637</v>
      </c>
      <c r="H181" s="6" t="s">
        <v>634</v>
      </c>
      <c r="I181" s="6" t="s">
        <v>635</v>
      </c>
      <c r="J181" s="6" t="s">
        <v>45</v>
      </c>
      <c r="K181" s="6" t="s">
        <v>267</v>
      </c>
      <c r="L181" s="6" t="s">
        <v>636</v>
      </c>
    </row>
    <row r="182" customFormat="false" ht="91" hidden="false" customHeight="false" outlineLevel="0" collapsed="false">
      <c r="A182" s="6" t="s">
        <v>233</v>
      </c>
      <c r="B182" s="6" t="s">
        <v>262</v>
      </c>
      <c r="C182" s="6" t="s">
        <v>50</v>
      </c>
      <c r="D182" s="6" t="s">
        <v>49</v>
      </c>
      <c r="E182" s="6"/>
      <c r="F182" s="6" t="s">
        <v>638</v>
      </c>
      <c r="G182" s="6" t="s">
        <v>639</v>
      </c>
      <c r="H182" s="6" t="s">
        <v>640</v>
      </c>
      <c r="I182" s="6" t="s">
        <v>641</v>
      </c>
      <c r="J182" s="6" t="s">
        <v>45</v>
      </c>
      <c r="K182" s="6" t="s">
        <v>267</v>
      </c>
      <c r="L182" s="6" t="s">
        <v>642</v>
      </c>
    </row>
    <row r="183" customFormat="false" ht="46.25" hidden="false" customHeight="false" outlineLevel="0" collapsed="false">
      <c r="A183" s="6" t="s">
        <v>233</v>
      </c>
      <c r="B183" s="6" t="s">
        <v>269</v>
      </c>
      <c r="C183" s="6" t="s">
        <v>39</v>
      </c>
      <c r="D183" s="6" t="s">
        <v>270</v>
      </c>
      <c r="E183" s="6"/>
      <c r="F183" s="6"/>
      <c r="G183" s="6" t="s">
        <v>643</v>
      </c>
      <c r="H183" s="6" t="s">
        <v>644</v>
      </c>
      <c r="I183" s="6" t="s">
        <v>641</v>
      </c>
      <c r="J183" s="6" t="s">
        <v>45</v>
      </c>
      <c r="K183" s="6" t="s">
        <v>267</v>
      </c>
      <c r="L183" s="6" t="s">
        <v>642</v>
      </c>
    </row>
    <row r="184" customFormat="false" ht="46.25" hidden="false" customHeight="false" outlineLevel="0" collapsed="false">
      <c r="A184" s="6" t="s">
        <v>233</v>
      </c>
      <c r="B184" s="6" t="s">
        <v>273</v>
      </c>
      <c r="C184" s="6" t="s">
        <v>39</v>
      </c>
      <c r="D184" s="6" t="s">
        <v>270</v>
      </c>
      <c r="E184" s="6"/>
      <c r="F184" s="6"/>
      <c r="G184" s="6" t="s">
        <v>643</v>
      </c>
      <c r="H184" s="6" t="s">
        <v>644</v>
      </c>
      <c r="I184" s="6" t="s">
        <v>641</v>
      </c>
      <c r="J184" s="6" t="s">
        <v>45</v>
      </c>
      <c r="K184" s="6" t="s">
        <v>267</v>
      </c>
      <c r="L184" s="6" t="s">
        <v>642</v>
      </c>
    </row>
    <row r="185" customFormat="false" ht="46.25" hidden="false" customHeight="false" outlineLevel="0" collapsed="false">
      <c r="A185" s="6" t="s">
        <v>233</v>
      </c>
      <c r="B185" s="6" t="s">
        <v>276</v>
      </c>
      <c r="C185" s="6" t="s">
        <v>39</v>
      </c>
      <c r="D185" s="6" t="s">
        <v>270</v>
      </c>
      <c r="E185" s="6"/>
      <c r="F185" s="6"/>
      <c r="G185" s="6" t="s">
        <v>645</v>
      </c>
      <c r="H185" s="6" t="s">
        <v>646</v>
      </c>
      <c r="I185" s="6" t="s">
        <v>641</v>
      </c>
      <c r="J185" s="6" t="s">
        <v>45</v>
      </c>
      <c r="K185" s="6" t="s">
        <v>267</v>
      </c>
      <c r="L185" s="6" t="s">
        <v>642</v>
      </c>
    </row>
    <row r="186" customFormat="false" ht="91" hidden="false" customHeight="false" outlineLevel="0" collapsed="false">
      <c r="A186" s="6" t="s">
        <v>236</v>
      </c>
      <c r="B186" s="6" t="s">
        <v>262</v>
      </c>
      <c r="C186" s="6" t="s">
        <v>50</v>
      </c>
      <c r="D186" s="6" t="s">
        <v>101</v>
      </c>
      <c r="E186" s="6"/>
      <c r="F186" s="6" t="s">
        <v>647</v>
      </c>
      <c r="G186" s="6" t="s">
        <v>648</v>
      </c>
      <c r="H186" s="6" t="s">
        <v>649</v>
      </c>
      <c r="I186" s="6" t="s">
        <v>650</v>
      </c>
      <c r="J186" s="6" t="s">
        <v>45</v>
      </c>
      <c r="K186" s="6" t="s">
        <v>267</v>
      </c>
      <c r="L186" s="6" t="s">
        <v>651</v>
      </c>
    </row>
    <row r="187" customFormat="false" ht="46.25" hidden="false" customHeight="false" outlineLevel="0" collapsed="false">
      <c r="A187" s="6" t="s">
        <v>236</v>
      </c>
      <c r="B187" s="6" t="s">
        <v>269</v>
      </c>
      <c r="C187" s="6" t="s">
        <v>39</v>
      </c>
      <c r="D187" s="6" t="s">
        <v>270</v>
      </c>
      <c r="E187" s="6"/>
      <c r="F187" s="6"/>
      <c r="G187" s="6" t="s">
        <v>652</v>
      </c>
      <c r="H187" s="6" t="s">
        <v>653</v>
      </c>
      <c r="I187" s="6" t="s">
        <v>650</v>
      </c>
      <c r="J187" s="6" t="s">
        <v>45</v>
      </c>
      <c r="K187" s="6" t="s">
        <v>267</v>
      </c>
      <c r="L187" s="6" t="s">
        <v>651</v>
      </c>
    </row>
    <row r="188" customFormat="false" ht="46.25" hidden="false" customHeight="false" outlineLevel="0" collapsed="false">
      <c r="A188" s="6" t="s">
        <v>236</v>
      </c>
      <c r="B188" s="6" t="s">
        <v>273</v>
      </c>
      <c r="C188" s="6" t="s">
        <v>39</v>
      </c>
      <c r="D188" s="6" t="s">
        <v>270</v>
      </c>
      <c r="E188" s="6"/>
      <c r="F188" s="6"/>
      <c r="G188" s="6" t="s">
        <v>654</v>
      </c>
      <c r="H188" s="6" t="s">
        <v>655</v>
      </c>
      <c r="I188" s="6" t="s">
        <v>650</v>
      </c>
      <c r="J188" s="6" t="s">
        <v>45</v>
      </c>
      <c r="K188" s="6" t="s">
        <v>267</v>
      </c>
      <c r="L188" s="6" t="s">
        <v>651</v>
      </c>
    </row>
    <row r="189" customFormat="false" ht="46.25" hidden="false" customHeight="false" outlineLevel="0" collapsed="false">
      <c r="A189" s="6" t="s">
        <v>236</v>
      </c>
      <c r="B189" s="6" t="s">
        <v>276</v>
      </c>
      <c r="C189" s="6" t="s">
        <v>39</v>
      </c>
      <c r="D189" s="6" t="s">
        <v>270</v>
      </c>
      <c r="E189" s="6"/>
      <c r="F189" s="6"/>
      <c r="G189" s="6" t="s">
        <v>656</v>
      </c>
      <c r="H189" s="6" t="s">
        <v>653</v>
      </c>
      <c r="I189" s="6" t="s">
        <v>650</v>
      </c>
      <c r="J189" s="6" t="s">
        <v>45</v>
      </c>
      <c r="K189" s="6" t="s">
        <v>267</v>
      </c>
      <c r="L189" s="6" t="s">
        <v>651</v>
      </c>
    </row>
    <row r="190" customFormat="false" ht="102.2" hidden="false" customHeight="false" outlineLevel="0" collapsed="false">
      <c r="A190" s="6" t="s">
        <v>240</v>
      </c>
      <c r="B190" s="6" t="s">
        <v>262</v>
      </c>
      <c r="C190" s="6" t="s">
        <v>50</v>
      </c>
      <c r="D190" s="6" t="s">
        <v>242</v>
      </c>
      <c r="E190" s="6"/>
      <c r="F190" s="6" t="s">
        <v>657</v>
      </c>
      <c r="G190" s="6" t="s">
        <v>658</v>
      </c>
      <c r="H190" s="6" t="s">
        <v>659</v>
      </c>
      <c r="I190" s="6" t="s">
        <v>660</v>
      </c>
      <c r="J190" s="6" t="s">
        <v>45</v>
      </c>
      <c r="K190" s="6" t="s">
        <v>267</v>
      </c>
      <c r="L190" s="6" t="s">
        <v>661</v>
      </c>
    </row>
    <row r="191" customFormat="false" ht="35.05" hidden="false" customHeight="false" outlineLevel="0" collapsed="false">
      <c r="A191" s="6" t="s">
        <v>240</v>
      </c>
      <c r="B191" s="6" t="s">
        <v>269</v>
      </c>
      <c r="C191" s="6" t="s">
        <v>91</v>
      </c>
      <c r="D191" s="6" t="s">
        <v>242</v>
      </c>
      <c r="E191" s="6"/>
      <c r="F191" s="6"/>
      <c r="G191" s="6" t="s">
        <v>662</v>
      </c>
      <c r="H191" s="6" t="s">
        <v>663</v>
      </c>
      <c r="I191" s="6" t="s">
        <v>660</v>
      </c>
      <c r="J191" s="6" t="s">
        <v>45</v>
      </c>
      <c r="K191" s="6" t="s">
        <v>267</v>
      </c>
      <c r="L191" s="6" t="s">
        <v>661</v>
      </c>
    </row>
    <row r="192" customFormat="false" ht="35.05" hidden="false" customHeight="false" outlineLevel="0" collapsed="false">
      <c r="A192" s="6" t="s">
        <v>240</v>
      </c>
      <c r="B192" s="6" t="s">
        <v>273</v>
      </c>
      <c r="C192" s="6" t="s">
        <v>91</v>
      </c>
      <c r="D192" s="6" t="s">
        <v>242</v>
      </c>
      <c r="E192" s="6"/>
      <c r="F192" s="6"/>
      <c r="G192" s="6" t="s">
        <v>662</v>
      </c>
      <c r="H192" s="6" t="s">
        <v>663</v>
      </c>
      <c r="I192" s="6" t="s">
        <v>660</v>
      </c>
      <c r="J192" s="6" t="s">
        <v>45</v>
      </c>
      <c r="K192" s="6" t="s">
        <v>267</v>
      </c>
      <c r="L192" s="6" t="s">
        <v>661</v>
      </c>
    </row>
    <row r="193" customFormat="false" ht="35.05" hidden="false" customHeight="false" outlineLevel="0" collapsed="false">
      <c r="A193" s="6" t="s">
        <v>240</v>
      </c>
      <c r="B193" s="6" t="s">
        <v>276</v>
      </c>
      <c r="C193" s="6" t="s">
        <v>39</v>
      </c>
      <c r="D193" s="6" t="s">
        <v>270</v>
      </c>
      <c r="E193" s="6"/>
      <c r="F193" s="6"/>
      <c r="G193" s="6" t="s">
        <v>664</v>
      </c>
      <c r="H193" s="6" t="s">
        <v>663</v>
      </c>
      <c r="I193" s="6" t="s">
        <v>660</v>
      </c>
      <c r="J193" s="6" t="s">
        <v>45</v>
      </c>
      <c r="K193" s="6" t="s">
        <v>267</v>
      </c>
      <c r="L193" s="6" t="s">
        <v>661</v>
      </c>
    </row>
    <row r="194" customFormat="false" ht="113.4" hidden="false" customHeight="false" outlineLevel="0" collapsed="false">
      <c r="A194" s="6" t="s">
        <v>245</v>
      </c>
      <c r="B194" s="6" t="s">
        <v>262</v>
      </c>
      <c r="C194" s="6" t="s">
        <v>50</v>
      </c>
      <c r="D194" s="6" t="s">
        <v>49</v>
      </c>
      <c r="E194" s="6"/>
      <c r="F194" s="6" t="s">
        <v>665</v>
      </c>
      <c r="G194" s="6" t="s">
        <v>666</v>
      </c>
      <c r="H194" s="6" t="s">
        <v>667</v>
      </c>
      <c r="I194" s="6" t="s">
        <v>668</v>
      </c>
      <c r="J194" s="6" t="s">
        <v>45</v>
      </c>
      <c r="K194" s="6" t="s">
        <v>267</v>
      </c>
      <c r="L194" s="6" t="s">
        <v>669</v>
      </c>
    </row>
    <row r="195" customFormat="false" ht="35.05" hidden="false" customHeight="false" outlineLevel="0" collapsed="false">
      <c r="A195" s="6" t="s">
        <v>245</v>
      </c>
      <c r="B195" s="6" t="s">
        <v>269</v>
      </c>
      <c r="C195" s="6" t="s">
        <v>39</v>
      </c>
      <c r="D195" s="6" t="s">
        <v>270</v>
      </c>
      <c r="E195" s="6"/>
      <c r="F195" s="6"/>
      <c r="G195" s="6" t="s">
        <v>670</v>
      </c>
      <c r="H195" s="6" t="s">
        <v>671</v>
      </c>
      <c r="I195" s="6" t="s">
        <v>668</v>
      </c>
      <c r="J195" s="6" t="s">
        <v>45</v>
      </c>
      <c r="K195" s="6" t="s">
        <v>267</v>
      </c>
      <c r="L195" s="6" t="s">
        <v>669</v>
      </c>
    </row>
    <row r="196" customFormat="false" ht="35.05" hidden="false" customHeight="false" outlineLevel="0" collapsed="false">
      <c r="A196" s="6" t="s">
        <v>245</v>
      </c>
      <c r="B196" s="6" t="s">
        <v>273</v>
      </c>
      <c r="C196" s="6" t="s">
        <v>39</v>
      </c>
      <c r="D196" s="6" t="s">
        <v>270</v>
      </c>
      <c r="E196" s="6"/>
      <c r="F196" s="6"/>
      <c r="G196" s="6" t="s">
        <v>672</v>
      </c>
      <c r="H196" s="6" t="s">
        <v>673</v>
      </c>
      <c r="I196" s="6" t="s">
        <v>668</v>
      </c>
      <c r="J196" s="6" t="s">
        <v>45</v>
      </c>
      <c r="K196" s="6" t="s">
        <v>267</v>
      </c>
      <c r="L196" s="6" t="s">
        <v>669</v>
      </c>
    </row>
    <row r="197" customFormat="false" ht="35.05" hidden="false" customHeight="false" outlineLevel="0" collapsed="false">
      <c r="A197" s="6" t="s">
        <v>245</v>
      </c>
      <c r="B197" s="6" t="s">
        <v>276</v>
      </c>
      <c r="C197" s="6" t="s">
        <v>39</v>
      </c>
      <c r="D197" s="6" t="s">
        <v>270</v>
      </c>
      <c r="E197" s="6"/>
      <c r="F197" s="6"/>
      <c r="G197" s="6" t="s">
        <v>674</v>
      </c>
      <c r="H197" s="6" t="s">
        <v>675</v>
      </c>
      <c r="I197" s="6" t="s">
        <v>668</v>
      </c>
      <c r="J197" s="6" t="s">
        <v>45</v>
      </c>
      <c r="K197" s="6" t="s">
        <v>267</v>
      </c>
      <c r="L197" s="6" t="s">
        <v>669</v>
      </c>
    </row>
    <row r="198" customFormat="false" ht="113.4" hidden="false" customHeight="false" outlineLevel="0" collapsed="false">
      <c r="A198" s="6" t="s">
        <v>249</v>
      </c>
      <c r="B198" s="6" t="s">
        <v>262</v>
      </c>
      <c r="C198" s="6" t="s">
        <v>50</v>
      </c>
      <c r="D198" s="6" t="s">
        <v>49</v>
      </c>
      <c r="E198" s="6"/>
      <c r="F198" s="6" t="s">
        <v>676</v>
      </c>
      <c r="G198" s="6" t="s">
        <v>677</v>
      </c>
      <c r="H198" s="6" t="s">
        <v>678</v>
      </c>
      <c r="I198" s="6" t="s">
        <v>679</v>
      </c>
      <c r="J198" s="6" t="s">
        <v>45</v>
      </c>
      <c r="K198" s="6" t="s">
        <v>267</v>
      </c>
      <c r="L198" s="6" t="s">
        <v>680</v>
      </c>
    </row>
    <row r="199" customFormat="false" ht="35.05" hidden="false" customHeight="false" outlineLevel="0" collapsed="false">
      <c r="A199" s="6" t="s">
        <v>249</v>
      </c>
      <c r="B199" s="6" t="s">
        <v>269</v>
      </c>
      <c r="C199" s="6" t="s">
        <v>39</v>
      </c>
      <c r="D199" s="6" t="s">
        <v>270</v>
      </c>
      <c r="E199" s="6"/>
      <c r="F199" s="6"/>
      <c r="G199" s="6" t="s">
        <v>681</v>
      </c>
      <c r="H199" s="6" t="s">
        <v>682</v>
      </c>
      <c r="I199" s="6" t="s">
        <v>679</v>
      </c>
      <c r="J199" s="6" t="s">
        <v>45</v>
      </c>
      <c r="K199" s="6" t="s">
        <v>267</v>
      </c>
      <c r="L199" s="6" t="s">
        <v>680</v>
      </c>
    </row>
    <row r="200" customFormat="false" ht="35.05" hidden="false" customHeight="false" outlineLevel="0" collapsed="false">
      <c r="A200" s="6" t="s">
        <v>249</v>
      </c>
      <c r="B200" s="6" t="s">
        <v>273</v>
      </c>
      <c r="C200" s="6" t="s">
        <v>39</v>
      </c>
      <c r="D200" s="6" t="s">
        <v>270</v>
      </c>
      <c r="E200" s="6"/>
      <c r="F200" s="6"/>
      <c r="G200" s="6" t="s">
        <v>683</v>
      </c>
      <c r="H200" s="6" t="s">
        <v>684</v>
      </c>
      <c r="I200" s="6" t="s">
        <v>679</v>
      </c>
      <c r="J200" s="6" t="s">
        <v>45</v>
      </c>
      <c r="K200" s="6" t="s">
        <v>267</v>
      </c>
      <c r="L200" s="6" t="s">
        <v>680</v>
      </c>
    </row>
    <row r="201" customFormat="false" ht="35.05" hidden="false" customHeight="false" outlineLevel="0" collapsed="false">
      <c r="A201" s="6" t="s">
        <v>249</v>
      </c>
      <c r="B201" s="6" t="s">
        <v>276</v>
      </c>
      <c r="C201" s="6" t="s">
        <v>39</v>
      </c>
      <c r="D201" s="6" t="s">
        <v>270</v>
      </c>
      <c r="E201" s="6"/>
      <c r="F201" s="6"/>
      <c r="G201" s="6" t="s">
        <v>685</v>
      </c>
      <c r="H201" s="6" t="s">
        <v>686</v>
      </c>
      <c r="I201" s="6" t="s">
        <v>679</v>
      </c>
      <c r="J201" s="6" t="s">
        <v>45</v>
      </c>
      <c r="K201" s="6" t="s">
        <v>267</v>
      </c>
      <c r="L201" s="6" t="s">
        <v>680</v>
      </c>
    </row>
  </sheetData>
  <autoFilter ref="A1:L20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N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5"/>
    <col collapsed="false" customWidth="true" hidden="false" outlineLevel="0" max="40" min="3" style="0" width="16"/>
  </cols>
  <sheetData>
    <row r="1" customFormat="false" ht="31.5" hidden="false" customHeight="true" outlineLevel="0" collapsed="false">
      <c r="A1" s="4" t="s">
        <v>16</v>
      </c>
      <c r="B1" s="4" t="s">
        <v>17</v>
      </c>
      <c r="C1" s="4" t="s">
        <v>22</v>
      </c>
      <c r="D1" s="4" t="s">
        <v>23</v>
      </c>
      <c r="E1" s="4" t="s">
        <v>24</v>
      </c>
      <c r="F1" s="4" t="s">
        <v>687</v>
      </c>
      <c r="G1" s="4" t="s">
        <v>688</v>
      </c>
      <c r="H1" s="4" t="s">
        <v>689</v>
      </c>
      <c r="I1" s="4" t="s">
        <v>690</v>
      </c>
      <c r="J1" s="4" t="s">
        <v>691</v>
      </c>
      <c r="K1" s="4" t="s">
        <v>692</v>
      </c>
      <c r="L1" s="4" t="s">
        <v>25</v>
      </c>
      <c r="M1" s="4" t="s">
        <v>693</v>
      </c>
      <c r="N1" s="4" t="s">
        <v>694</v>
      </c>
      <c r="O1" s="4" t="s">
        <v>695</v>
      </c>
      <c r="P1" s="4" t="s">
        <v>696</v>
      </c>
      <c r="Q1" s="4" t="s">
        <v>697</v>
      </c>
      <c r="R1" s="4" t="s">
        <v>27</v>
      </c>
      <c r="S1" s="4" t="s">
        <v>698</v>
      </c>
      <c r="T1" s="4" t="s">
        <v>699</v>
      </c>
      <c r="U1" s="4" t="s">
        <v>700</v>
      </c>
      <c r="V1" s="4" t="s">
        <v>701</v>
      </c>
      <c r="W1" s="4" t="s">
        <v>702</v>
      </c>
      <c r="X1" s="4" t="s">
        <v>703</v>
      </c>
      <c r="Y1" s="4" t="s">
        <v>28</v>
      </c>
      <c r="Z1" s="4" t="s">
        <v>29</v>
      </c>
      <c r="AA1" s="4" t="s">
        <v>704</v>
      </c>
      <c r="AB1" s="4" t="s">
        <v>705</v>
      </c>
      <c r="AC1" s="4" t="s">
        <v>706</v>
      </c>
      <c r="AD1" s="4" t="s">
        <v>707</v>
      </c>
      <c r="AE1" s="4" t="s">
        <v>708</v>
      </c>
      <c r="AF1" s="4" t="s">
        <v>709</v>
      </c>
      <c r="AG1" s="4" t="s">
        <v>710</v>
      </c>
      <c r="AH1" s="4" t="s">
        <v>711</v>
      </c>
      <c r="AI1" s="4" t="s">
        <v>712</v>
      </c>
      <c r="AJ1" s="4" t="s">
        <v>261</v>
      </c>
      <c r="AK1" s="4" t="s">
        <v>260</v>
      </c>
      <c r="AL1" s="4" t="s">
        <v>33</v>
      </c>
      <c r="AM1" s="4" t="s">
        <v>32</v>
      </c>
      <c r="AN1" s="4" t="s">
        <v>713</v>
      </c>
    </row>
    <row r="2" customFormat="false" ht="359.7" hidden="false" customHeight="false" outlineLevel="0" collapsed="false">
      <c r="A2" s="6" t="s">
        <v>35</v>
      </c>
      <c r="B2" s="6" t="s">
        <v>36</v>
      </c>
      <c r="C2" s="6" t="n">
        <v>30</v>
      </c>
      <c r="D2" s="6" t="s">
        <v>40</v>
      </c>
      <c r="E2" s="6" t="n">
        <v>30</v>
      </c>
      <c r="F2" s="6" t="s">
        <v>714</v>
      </c>
      <c r="G2" s="6" t="s">
        <v>715</v>
      </c>
      <c r="H2" s="6" t="s">
        <v>716</v>
      </c>
      <c r="I2" s="6" t="s">
        <v>717</v>
      </c>
      <c r="J2" s="6" t="s">
        <v>718</v>
      </c>
      <c r="K2" s="6" t="s">
        <v>719</v>
      </c>
      <c r="L2" s="6" t="n">
        <v>12</v>
      </c>
      <c r="M2" s="6" t="s">
        <v>720</v>
      </c>
      <c r="N2" s="6" t="s">
        <v>721</v>
      </c>
      <c r="O2" s="6" t="s">
        <v>722</v>
      </c>
      <c r="P2" s="6" t="s">
        <v>723</v>
      </c>
      <c r="Q2" s="6" t="s">
        <v>41</v>
      </c>
      <c r="R2" s="6" t="s">
        <v>42</v>
      </c>
      <c r="S2" s="6"/>
      <c r="T2" s="6" t="s">
        <v>724</v>
      </c>
      <c r="U2" s="6" t="s">
        <v>725</v>
      </c>
      <c r="V2" s="6" t="s">
        <v>726</v>
      </c>
      <c r="W2" s="6" t="s">
        <v>727</v>
      </c>
      <c r="X2" s="6" t="s">
        <v>728</v>
      </c>
      <c r="Y2" s="6" t="n">
        <v>30</v>
      </c>
      <c r="Z2" s="6" t="s">
        <v>40</v>
      </c>
      <c r="AA2" s="6" t="s">
        <v>729</v>
      </c>
      <c r="AB2" s="6" t="s">
        <v>730</v>
      </c>
      <c r="AC2" s="6" t="s">
        <v>731</v>
      </c>
      <c r="AD2" s="6" t="s">
        <v>732</v>
      </c>
      <c r="AE2" s="6" t="s">
        <v>733</v>
      </c>
      <c r="AF2" s="6" t="s">
        <v>734</v>
      </c>
      <c r="AG2" s="6" t="s">
        <v>735</v>
      </c>
      <c r="AH2" s="6" t="s">
        <v>736</v>
      </c>
      <c r="AI2" s="6" t="s">
        <v>737</v>
      </c>
      <c r="AJ2" s="6" t="s">
        <v>738</v>
      </c>
      <c r="AK2" s="6" t="s">
        <v>267</v>
      </c>
      <c r="AL2" s="6" t="s">
        <v>45</v>
      </c>
      <c r="AM2" s="6" t="s">
        <v>44</v>
      </c>
      <c r="AN2" s="6" t="s">
        <v>739</v>
      </c>
    </row>
    <row r="3" customFormat="false" ht="561.15" hidden="false" customHeight="false" outlineLevel="0" collapsed="false">
      <c r="A3" s="6" t="s">
        <v>47</v>
      </c>
      <c r="B3" s="6" t="s">
        <v>48</v>
      </c>
      <c r="C3" s="6" t="n">
        <v>30</v>
      </c>
      <c r="D3" s="6" t="s">
        <v>40</v>
      </c>
      <c r="E3" s="6" t="n">
        <v>30</v>
      </c>
      <c r="F3" s="6" t="s">
        <v>714</v>
      </c>
      <c r="G3" s="6"/>
      <c r="H3" s="6" t="s">
        <v>740</v>
      </c>
      <c r="I3" s="6" t="s">
        <v>741</v>
      </c>
      <c r="J3" s="6" t="s">
        <v>742</v>
      </c>
      <c r="K3" s="6" t="s">
        <v>743</v>
      </c>
      <c r="L3" s="6" t="n">
        <v>12</v>
      </c>
      <c r="M3" s="6" t="s">
        <v>744</v>
      </c>
      <c r="N3" s="6" t="s">
        <v>745</v>
      </c>
      <c r="O3" s="6" t="s">
        <v>746</v>
      </c>
      <c r="P3" s="6" t="s">
        <v>743</v>
      </c>
      <c r="Q3" s="6" t="s">
        <v>51</v>
      </c>
      <c r="R3" s="6" t="s">
        <v>52</v>
      </c>
      <c r="S3" s="6" t="s">
        <v>747</v>
      </c>
      <c r="T3" s="6" t="s">
        <v>748</v>
      </c>
      <c r="U3" s="6" t="s">
        <v>749</v>
      </c>
      <c r="V3" s="6" t="s">
        <v>750</v>
      </c>
      <c r="W3" s="6" t="s">
        <v>751</v>
      </c>
      <c r="X3" s="6" t="s">
        <v>752</v>
      </c>
      <c r="Y3" s="6" t="n">
        <v>45</v>
      </c>
      <c r="Z3" s="6" t="s">
        <v>40</v>
      </c>
      <c r="AA3" s="6" t="s">
        <v>753</v>
      </c>
      <c r="AB3" s="6" t="s">
        <v>754</v>
      </c>
      <c r="AC3" s="6" t="s">
        <v>755</v>
      </c>
      <c r="AD3" s="6" t="s">
        <v>756</v>
      </c>
      <c r="AE3" s="6" t="s">
        <v>757</v>
      </c>
      <c r="AF3" s="6" t="s">
        <v>758</v>
      </c>
      <c r="AG3" s="6" t="s">
        <v>759</v>
      </c>
      <c r="AH3" s="6" t="s">
        <v>760</v>
      </c>
      <c r="AI3" s="6" t="s">
        <v>761</v>
      </c>
      <c r="AJ3" s="6" t="s">
        <v>282</v>
      </c>
      <c r="AK3" s="6" t="s">
        <v>267</v>
      </c>
      <c r="AL3" s="6" t="s">
        <v>45</v>
      </c>
      <c r="AM3" s="6" t="s">
        <v>44</v>
      </c>
      <c r="AN3" s="6" t="s">
        <v>762</v>
      </c>
    </row>
    <row r="4" customFormat="false" ht="538.8" hidden="false" customHeight="false" outlineLevel="0" collapsed="false">
      <c r="A4" s="6" t="s">
        <v>55</v>
      </c>
      <c r="B4" s="6" t="s">
        <v>56</v>
      </c>
      <c r="C4" s="6" t="n">
        <v>30</v>
      </c>
      <c r="D4" s="6" t="s">
        <v>40</v>
      </c>
      <c r="E4" s="6" t="n">
        <v>30</v>
      </c>
      <c r="F4" s="6" t="s">
        <v>714</v>
      </c>
      <c r="G4" s="6"/>
      <c r="H4" s="6" t="s">
        <v>763</v>
      </c>
      <c r="I4" s="6" t="s">
        <v>764</v>
      </c>
      <c r="J4" s="6" t="s">
        <v>765</v>
      </c>
      <c r="K4" s="6" t="s">
        <v>766</v>
      </c>
      <c r="L4" s="6" t="n">
        <v>12</v>
      </c>
      <c r="M4" s="6" t="s">
        <v>767</v>
      </c>
      <c r="N4" s="6" t="s">
        <v>768</v>
      </c>
      <c r="O4" s="6" t="s">
        <v>769</v>
      </c>
      <c r="P4" s="6" t="s">
        <v>770</v>
      </c>
      <c r="Q4" s="6"/>
      <c r="R4" s="6" t="s">
        <v>52</v>
      </c>
      <c r="S4" s="6" t="s">
        <v>771</v>
      </c>
      <c r="T4" s="6" t="s">
        <v>772</v>
      </c>
      <c r="U4" s="6" t="s">
        <v>773</v>
      </c>
      <c r="V4" s="6" t="s">
        <v>774</v>
      </c>
      <c r="W4" s="6" t="s">
        <v>775</v>
      </c>
      <c r="X4" s="6" t="s">
        <v>776</v>
      </c>
      <c r="Y4" s="6" t="n">
        <v>45</v>
      </c>
      <c r="Z4" s="6" t="s">
        <v>40</v>
      </c>
      <c r="AA4" s="6" t="s">
        <v>777</v>
      </c>
      <c r="AB4" s="6" t="s">
        <v>778</v>
      </c>
      <c r="AC4" s="6" t="s">
        <v>779</v>
      </c>
      <c r="AD4" s="6" t="s">
        <v>780</v>
      </c>
      <c r="AE4" s="6" t="s">
        <v>781</v>
      </c>
      <c r="AF4" s="6" t="s">
        <v>782</v>
      </c>
      <c r="AG4" s="6" t="s">
        <v>783</v>
      </c>
      <c r="AH4" s="6" t="s">
        <v>784</v>
      </c>
      <c r="AI4" s="6" t="s">
        <v>785</v>
      </c>
      <c r="AJ4" s="6" t="s">
        <v>786</v>
      </c>
      <c r="AK4" s="6" t="s">
        <v>469</v>
      </c>
      <c r="AL4" s="6" t="s">
        <v>59</v>
      </c>
      <c r="AM4" s="6" t="s">
        <v>44</v>
      </c>
      <c r="AN4" s="6" t="s">
        <v>787</v>
      </c>
    </row>
    <row r="5" customFormat="false" ht="337.3" hidden="false" customHeight="false" outlineLevel="0" collapsed="false">
      <c r="A5" s="6" t="s">
        <v>61</v>
      </c>
      <c r="B5" s="6" t="s">
        <v>62</v>
      </c>
      <c r="C5" s="6" t="n">
        <v>30</v>
      </c>
      <c r="D5" s="6" t="s">
        <v>40</v>
      </c>
      <c r="E5" s="6" t="n">
        <v>30</v>
      </c>
      <c r="F5" s="6" t="s">
        <v>714</v>
      </c>
      <c r="G5" s="6"/>
      <c r="H5" s="6" t="s">
        <v>788</v>
      </c>
      <c r="I5" s="6" t="s">
        <v>789</v>
      </c>
      <c r="J5" s="6" t="s">
        <v>790</v>
      </c>
      <c r="K5" s="6" t="s">
        <v>791</v>
      </c>
      <c r="L5" s="6" t="n">
        <v>12</v>
      </c>
      <c r="M5" s="6" t="s">
        <v>792</v>
      </c>
      <c r="N5" s="6" t="s">
        <v>793</v>
      </c>
      <c r="O5" s="6" t="s">
        <v>794</v>
      </c>
      <c r="P5" s="6" t="s">
        <v>795</v>
      </c>
      <c r="Q5" s="6" t="s">
        <v>63</v>
      </c>
      <c r="R5" s="6" t="s">
        <v>52</v>
      </c>
      <c r="S5" s="6" t="s">
        <v>796</v>
      </c>
      <c r="T5" s="6" t="s">
        <v>797</v>
      </c>
      <c r="U5" s="6" t="s">
        <v>798</v>
      </c>
      <c r="V5" s="6" t="s">
        <v>799</v>
      </c>
      <c r="W5" s="6" t="s">
        <v>800</v>
      </c>
      <c r="X5" s="6" t="s">
        <v>801</v>
      </c>
      <c r="Y5" s="6" t="n">
        <v>30</v>
      </c>
      <c r="Z5" s="6" t="s">
        <v>40</v>
      </c>
      <c r="AA5" s="6" t="s">
        <v>802</v>
      </c>
      <c r="AB5" s="6" t="s">
        <v>803</v>
      </c>
      <c r="AC5" s="6" t="s">
        <v>804</v>
      </c>
      <c r="AD5" s="6" t="s">
        <v>805</v>
      </c>
      <c r="AE5" s="6" t="s">
        <v>806</v>
      </c>
      <c r="AF5" s="6" t="s">
        <v>807</v>
      </c>
      <c r="AG5" s="6" t="s">
        <v>808</v>
      </c>
      <c r="AH5" s="6" t="s">
        <v>809</v>
      </c>
      <c r="AI5" s="6" t="s">
        <v>810</v>
      </c>
      <c r="AJ5" s="6" t="s">
        <v>297</v>
      </c>
      <c r="AK5" s="6" t="s">
        <v>267</v>
      </c>
      <c r="AL5" s="6" t="s">
        <v>45</v>
      </c>
      <c r="AM5" s="6" t="s">
        <v>44</v>
      </c>
      <c r="AN5" s="6" t="s">
        <v>811</v>
      </c>
    </row>
    <row r="6" customFormat="false" ht="605.95" hidden="false" customHeight="false" outlineLevel="0" collapsed="false">
      <c r="A6" s="6" t="s">
        <v>66</v>
      </c>
      <c r="B6" s="6" t="s">
        <v>67</v>
      </c>
      <c r="C6" s="6" t="n">
        <v>30</v>
      </c>
      <c r="D6" s="6" t="s">
        <v>40</v>
      </c>
      <c r="E6" s="6" t="n">
        <v>30</v>
      </c>
      <c r="F6" s="6" t="s">
        <v>714</v>
      </c>
      <c r="G6" s="6"/>
      <c r="H6" s="6" t="s">
        <v>812</v>
      </c>
      <c r="I6" s="6" t="s">
        <v>813</v>
      </c>
      <c r="J6" s="6" t="s">
        <v>814</v>
      </c>
      <c r="K6" s="6" t="s">
        <v>815</v>
      </c>
      <c r="L6" s="6" t="n">
        <v>9</v>
      </c>
      <c r="M6" s="6" t="s">
        <v>816</v>
      </c>
      <c r="N6" s="6" t="s">
        <v>817</v>
      </c>
      <c r="O6" s="6" t="s">
        <v>818</v>
      </c>
      <c r="P6" s="6" t="s">
        <v>819</v>
      </c>
      <c r="Q6" s="6" t="s">
        <v>68</v>
      </c>
      <c r="R6" s="6" t="s">
        <v>52</v>
      </c>
      <c r="S6" s="6" t="s">
        <v>820</v>
      </c>
      <c r="T6" s="6" t="s">
        <v>821</v>
      </c>
      <c r="U6" s="6" t="s">
        <v>822</v>
      </c>
      <c r="V6" s="6" t="s">
        <v>823</v>
      </c>
      <c r="W6" s="6" t="s">
        <v>824</v>
      </c>
      <c r="X6" s="6" t="s">
        <v>825</v>
      </c>
      <c r="Y6" s="6" t="n">
        <v>30</v>
      </c>
      <c r="Z6" s="6" t="s">
        <v>40</v>
      </c>
      <c r="AA6" s="6" t="s">
        <v>826</v>
      </c>
      <c r="AB6" s="6" t="s">
        <v>827</v>
      </c>
      <c r="AC6" s="6" t="s">
        <v>828</v>
      </c>
      <c r="AD6" s="6" t="s">
        <v>829</v>
      </c>
      <c r="AE6" s="6" t="s">
        <v>830</v>
      </c>
      <c r="AF6" s="6" t="s">
        <v>831</v>
      </c>
      <c r="AG6" s="6" t="s">
        <v>832</v>
      </c>
      <c r="AH6" s="6" t="s">
        <v>833</v>
      </c>
      <c r="AI6" s="6" t="s">
        <v>834</v>
      </c>
      <c r="AJ6" s="6" t="s">
        <v>304</v>
      </c>
      <c r="AK6" s="6" t="s">
        <v>267</v>
      </c>
      <c r="AL6" s="6" t="s">
        <v>45</v>
      </c>
      <c r="AM6" s="6" t="s">
        <v>44</v>
      </c>
      <c r="AN6" s="6" t="s">
        <v>835</v>
      </c>
    </row>
    <row r="7" customFormat="false" ht="639.55" hidden="false" customHeight="false" outlineLevel="0" collapsed="false">
      <c r="A7" s="6" t="s">
        <v>71</v>
      </c>
      <c r="B7" s="6" t="s">
        <v>72</v>
      </c>
      <c r="C7" s="6"/>
      <c r="D7" s="6" t="s">
        <v>57</v>
      </c>
      <c r="E7" s="6"/>
      <c r="F7" s="6"/>
      <c r="G7" s="6" t="s">
        <v>836</v>
      </c>
      <c r="H7" s="6"/>
      <c r="I7" s="6"/>
      <c r="J7" s="6" t="s">
        <v>837</v>
      </c>
      <c r="K7" s="6" t="s">
        <v>838</v>
      </c>
      <c r="L7" s="6" t="n">
        <v>9</v>
      </c>
      <c r="M7" s="6" t="s">
        <v>839</v>
      </c>
      <c r="N7" s="6" t="s">
        <v>840</v>
      </c>
      <c r="O7" s="6" t="s">
        <v>841</v>
      </c>
      <c r="P7" s="6" t="s">
        <v>842</v>
      </c>
      <c r="Q7" s="6" t="s">
        <v>73</v>
      </c>
      <c r="R7" s="6" t="s">
        <v>74</v>
      </c>
      <c r="S7" s="6" t="s">
        <v>843</v>
      </c>
      <c r="T7" s="6" t="s">
        <v>844</v>
      </c>
      <c r="U7" s="6" t="s">
        <v>845</v>
      </c>
      <c r="V7" s="6" t="s">
        <v>846</v>
      </c>
      <c r="W7" s="6" t="s">
        <v>847</v>
      </c>
      <c r="X7" s="6" t="s">
        <v>848</v>
      </c>
      <c r="Y7" s="6" t="n">
        <v>45</v>
      </c>
      <c r="Z7" s="6" t="s">
        <v>40</v>
      </c>
      <c r="AA7" s="6" t="s">
        <v>849</v>
      </c>
      <c r="AB7" s="6" t="s">
        <v>850</v>
      </c>
      <c r="AC7" s="6" t="s">
        <v>851</v>
      </c>
      <c r="AD7" s="6" t="s">
        <v>852</v>
      </c>
      <c r="AE7" s="6" t="s">
        <v>853</v>
      </c>
      <c r="AF7" s="6" t="s">
        <v>854</v>
      </c>
      <c r="AG7" s="6" t="s">
        <v>855</v>
      </c>
      <c r="AH7" s="6" t="s">
        <v>856</v>
      </c>
      <c r="AI7" s="6" t="s">
        <v>857</v>
      </c>
      <c r="AJ7" s="6" t="s">
        <v>858</v>
      </c>
      <c r="AK7" s="6" t="s">
        <v>289</v>
      </c>
      <c r="AL7" s="6" t="s">
        <v>59</v>
      </c>
      <c r="AM7" s="6" t="s">
        <v>44</v>
      </c>
      <c r="AN7" s="6" t="s">
        <v>859</v>
      </c>
    </row>
    <row r="8" customFormat="false" ht="292.5" hidden="false" customHeight="false" outlineLevel="0" collapsed="false">
      <c r="A8" s="6" t="s">
        <v>77</v>
      </c>
      <c r="B8" s="6" t="s">
        <v>78</v>
      </c>
      <c r="C8" s="6" t="n">
        <v>30</v>
      </c>
      <c r="D8" s="6" t="s">
        <v>40</v>
      </c>
      <c r="E8" s="6" t="n">
        <v>30</v>
      </c>
      <c r="F8" s="6" t="s">
        <v>714</v>
      </c>
      <c r="G8" s="6"/>
      <c r="H8" s="6" t="s">
        <v>860</v>
      </c>
      <c r="I8" s="6" t="s">
        <v>861</v>
      </c>
      <c r="J8" s="6" t="s">
        <v>862</v>
      </c>
      <c r="K8" s="6" t="s">
        <v>863</v>
      </c>
      <c r="L8" s="6" t="n">
        <v>12</v>
      </c>
      <c r="M8" s="6" t="s">
        <v>864</v>
      </c>
      <c r="N8" s="6" t="s">
        <v>865</v>
      </c>
      <c r="O8" s="6" t="s">
        <v>866</v>
      </c>
      <c r="P8" s="6" t="s">
        <v>863</v>
      </c>
      <c r="Q8" s="6" t="s">
        <v>79</v>
      </c>
      <c r="R8" s="6" t="s">
        <v>80</v>
      </c>
      <c r="S8" s="6" t="s">
        <v>867</v>
      </c>
      <c r="T8" s="6" t="s">
        <v>868</v>
      </c>
      <c r="U8" s="6" t="s">
        <v>869</v>
      </c>
      <c r="V8" s="6" t="s">
        <v>870</v>
      </c>
      <c r="W8" s="6" t="s">
        <v>871</v>
      </c>
      <c r="X8" s="6" t="s">
        <v>872</v>
      </c>
      <c r="Y8" s="6" t="n">
        <v>30</v>
      </c>
      <c r="Z8" s="6" t="s">
        <v>40</v>
      </c>
      <c r="AA8" s="6" t="s">
        <v>873</v>
      </c>
      <c r="AB8" s="6" t="s">
        <v>874</v>
      </c>
      <c r="AC8" s="6" t="s">
        <v>875</v>
      </c>
      <c r="AD8" s="6" t="s">
        <v>876</v>
      </c>
      <c r="AE8" s="6" t="s">
        <v>877</v>
      </c>
      <c r="AF8" s="6" t="s">
        <v>878</v>
      </c>
      <c r="AG8" s="6" t="s">
        <v>879</v>
      </c>
      <c r="AH8" s="6" t="s">
        <v>880</v>
      </c>
      <c r="AI8" s="6" t="s">
        <v>881</v>
      </c>
      <c r="AJ8" s="6" t="s">
        <v>882</v>
      </c>
      <c r="AK8" s="6" t="s">
        <v>267</v>
      </c>
      <c r="AL8" s="6" t="s">
        <v>45</v>
      </c>
      <c r="AM8" s="6" t="s">
        <v>44</v>
      </c>
      <c r="AN8" s="6" t="s">
        <v>883</v>
      </c>
    </row>
    <row r="9" customFormat="false" ht="471.6" hidden="false" customHeight="false" outlineLevel="0" collapsed="false">
      <c r="A9" s="6" t="s">
        <v>84</v>
      </c>
      <c r="B9" s="6" t="s">
        <v>85</v>
      </c>
      <c r="C9" s="6" t="n">
        <v>30</v>
      </c>
      <c r="D9" s="6" t="s">
        <v>40</v>
      </c>
      <c r="E9" s="6" t="n">
        <v>30</v>
      </c>
      <c r="F9" s="6" t="s">
        <v>714</v>
      </c>
      <c r="G9" s="6" t="s">
        <v>884</v>
      </c>
      <c r="H9" s="6"/>
      <c r="I9" s="6" t="s">
        <v>885</v>
      </c>
      <c r="J9" s="6" t="s">
        <v>742</v>
      </c>
      <c r="K9" s="6" t="s">
        <v>886</v>
      </c>
      <c r="L9" s="6" t="n">
        <v>6</v>
      </c>
      <c r="M9" s="6" t="s">
        <v>887</v>
      </c>
      <c r="N9" s="6" t="s">
        <v>888</v>
      </c>
      <c r="O9" s="6" t="s">
        <v>889</v>
      </c>
      <c r="P9" s="6" t="s">
        <v>890</v>
      </c>
      <c r="Q9" s="6" t="s">
        <v>86</v>
      </c>
      <c r="R9" s="6" t="s">
        <v>52</v>
      </c>
      <c r="S9" s="6"/>
      <c r="T9" s="6" t="s">
        <v>891</v>
      </c>
      <c r="U9" s="6" t="s">
        <v>892</v>
      </c>
      <c r="V9" s="6" t="s">
        <v>893</v>
      </c>
      <c r="W9" s="6" t="s">
        <v>894</v>
      </c>
      <c r="X9" s="6" t="s">
        <v>895</v>
      </c>
      <c r="Y9" s="6" t="n">
        <v>30</v>
      </c>
      <c r="Z9" s="6" t="s">
        <v>40</v>
      </c>
      <c r="AA9" s="6" t="s">
        <v>896</v>
      </c>
      <c r="AB9" s="6" t="s">
        <v>897</v>
      </c>
      <c r="AC9" s="6" t="s">
        <v>898</v>
      </c>
      <c r="AD9" s="6" t="s">
        <v>899</v>
      </c>
      <c r="AE9" s="6" t="s">
        <v>900</v>
      </c>
      <c r="AF9" s="6" t="s">
        <v>901</v>
      </c>
      <c r="AG9" s="6" t="s">
        <v>902</v>
      </c>
      <c r="AH9" s="6" t="s">
        <v>903</v>
      </c>
      <c r="AI9" s="6" t="s">
        <v>904</v>
      </c>
      <c r="AJ9" s="6" t="s">
        <v>905</v>
      </c>
      <c r="AK9" s="6" t="s">
        <v>267</v>
      </c>
      <c r="AL9" s="6" t="s">
        <v>45</v>
      </c>
      <c r="AM9" s="6" t="s">
        <v>44</v>
      </c>
      <c r="AN9" s="6" t="s">
        <v>906</v>
      </c>
    </row>
    <row r="10" customFormat="false" ht="393.25" hidden="false" customHeight="false" outlineLevel="0" collapsed="false">
      <c r="A10" s="6" t="s">
        <v>89</v>
      </c>
      <c r="B10" s="6" t="s">
        <v>90</v>
      </c>
      <c r="C10" s="6"/>
      <c r="D10" s="6" t="s">
        <v>57</v>
      </c>
      <c r="E10" s="6" t="n">
        <v>30</v>
      </c>
      <c r="F10" s="6" t="s">
        <v>907</v>
      </c>
      <c r="G10" s="6"/>
      <c r="H10" s="6"/>
      <c r="I10" s="6" t="s">
        <v>908</v>
      </c>
      <c r="J10" s="6" t="s">
        <v>909</v>
      </c>
      <c r="K10" s="6" t="s">
        <v>910</v>
      </c>
      <c r="L10" s="6" t="n">
        <v>12</v>
      </c>
      <c r="M10" s="6" t="s">
        <v>911</v>
      </c>
      <c r="N10" s="6" t="s">
        <v>912</v>
      </c>
      <c r="O10" s="6" t="s">
        <v>913</v>
      </c>
      <c r="P10" s="6" t="s">
        <v>914</v>
      </c>
      <c r="Q10" s="6" t="s">
        <v>92</v>
      </c>
      <c r="R10" s="6" t="s">
        <v>80</v>
      </c>
      <c r="S10" s="6" t="s">
        <v>915</v>
      </c>
      <c r="T10" s="6" t="s">
        <v>916</v>
      </c>
      <c r="U10" s="6" t="s">
        <v>917</v>
      </c>
      <c r="V10" s="6" t="s">
        <v>918</v>
      </c>
      <c r="W10" s="6" t="s">
        <v>919</v>
      </c>
      <c r="X10" s="6" t="s">
        <v>920</v>
      </c>
      <c r="Y10" s="6" t="n">
        <v>30</v>
      </c>
      <c r="Z10" s="6" t="s">
        <v>57</v>
      </c>
      <c r="AA10" s="6" t="s">
        <v>921</v>
      </c>
      <c r="AB10" s="6" t="s">
        <v>922</v>
      </c>
      <c r="AC10" s="6" t="s">
        <v>923</v>
      </c>
      <c r="AD10" s="6" t="s">
        <v>924</v>
      </c>
      <c r="AE10" s="6" t="s">
        <v>925</v>
      </c>
      <c r="AF10" s="6" t="s">
        <v>926</v>
      </c>
      <c r="AG10" s="6" t="s">
        <v>927</v>
      </c>
      <c r="AH10" s="6" t="s">
        <v>928</v>
      </c>
      <c r="AI10" s="6" t="s">
        <v>929</v>
      </c>
      <c r="AJ10" s="6" t="s">
        <v>930</v>
      </c>
      <c r="AK10" s="6" t="s">
        <v>267</v>
      </c>
      <c r="AL10" s="6" t="s">
        <v>45</v>
      </c>
      <c r="AM10" s="6" t="s">
        <v>44</v>
      </c>
      <c r="AN10" s="6" t="s">
        <v>931</v>
      </c>
    </row>
    <row r="11" customFormat="false" ht="426.85" hidden="false" customHeight="false" outlineLevel="0" collapsed="false">
      <c r="A11" s="6" t="s">
        <v>94</v>
      </c>
      <c r="B11" s="6" t="s">
        <v>95</v>
      </c>
      <c r="C11" s="6" t="n">
        <v>30</v>
      </c>
      <c r="D11" s="6" t="s">
        <v>40</v>
      </c>
      <c r="E11" s="6" t="n">
        <v>30</v>
      </c>
      <c r="F11" s="6" t="s">
        <v>714</v>
      </c>
      <c r="G11" s="6"/>
      <c r="H11" s="6" t="s">
        <v>932</v>
      </c>
      <c r="I11" s="6" t="s">
        <v>933</v>
      </c>
      <c r="J11" s="6" t="s">
        <v>742</v>
      </c>
      <c r="K11" s="6" t="s">
        <v>934</v>
      </c>
      <c r="L11" s="6" t="n">
        <v>12</v>
      </c>
      <c r="M11" s="6" t="s">
        <v>935</v>
      </c>
      <c r="N11" s="6" t="s">
        <v>936</v>
      </c>
      <c r="O11" s="6" t="s">
        <v>937</v>
      </c>
      <c r="P11" s="6" t="s">
        <v>938</v>
      </c>
      <c r="Q11" s="6" t="s">
        <v>96</v>
      </c>
      <c r="R11" s="6" t="s">
        <v>52</v>
      </c>
      <c r="S11" s="6" t="s">
        <v>939</v>
      </c>
      <c r="T11" s="6" t="s">
        <v>940</v>
      </c>
      <c r="U11" s="6" t="s">
        <v>941</v>
      </c>
      <c r="V11" s="6" t="s">
        <v>942</v>
      </c>
      <c r="W11" s="6" t="s">
        <v>943</v>
      </c>
      <c r="X11" s="6" t="s">
        <v>944</v>
      </c>
      <c r="Y11" s="6" t="n">
        <v>30</v>
      </c>
      <c r="Z11" s="6" t="s">
        <v>57</v>
      </c>
      <c r="AA11" s="6" t="s">
        <v>945</v>
      </c>
      <c r="AB11" s="6" t="s">
        <v>946</v>
      </c>
      <c r="AC11" s="6" t="s">
        <v>947</v>
      </c>
      <c r="AD11" s="6" t="s">
        <v>948</v>
      </c>
      <c r="AE11" s="6" t="s">
        <v>949</v>
      </c>
      <c r="AF11" s="6" t="s">
        <v>950</v>
      </c>
      <c r="AG11" s="6" t="s">
        <v>951</v>
      </c>
      <c r="AH11" s="6" t="s">
        <v>952</v>
      </c>
      <c r="AI11" s="6" t="s">
        <v>953</v>
      </c>
      <c r="AJ11" s="6" t="s">
        <v>954</v>
      </c>
      <c r="AK11" s="6" t="s">
        <v>289</v>
      </c>
      <c r="AL11" s="6" t="s">
        <v>59</v>
      </c>
      <c r="AM11" s="6" t="s">
        <v>44</v>
      </c>
      <c r="AN11" s="6" t="s">
        <v>955</v>
      </c>
    </row>
    <row r="12" customFormat="false" ht="617.15" hidden="false" customHeight="false" outlineLevel="0" collapsed="false">
      <c r="A12" s="6" t="s">
        <v>99</v>
      </c>
      <c r="B12" s="6" t="s">
        <v>100</v>
      </c>
      <c r="C12" s="6" t="n">
        <v>30</v>
      </c>
      <c r="D12" s="6" t="s">
        <v>40</v>
      </c>
      <c r="E12" s="6" t="n">
        <v>30</v>
      </c>
      <c r="F12" s="6" t="s">
        <v>714</v>
      </c>
      <c r="G12" s="6" t="s">
        <v>956</v>
      </c>
      <c r="H12" s="6"/>
      <c r="I12" s="6" t="s">
        <v>957</v>
      </c>
      <c r="J12" s="6" t="s">
        <v>958</v>
      </c>
      <c r="K12" s="6" t="s">
        <v>959</v>
      </c>
      <c r="L12" s="6" t="n">
        <v>12</v>
      </c>
      <c r="M12" s="6" t="s">
        <v>960</v>
      </c>
      <c r="N12" s="6" t="s">
        <v>961</v>
      </c>
      <c r="O12" s="6" t="s">
        <v>962</v>
      </c>
      <c r="P12" s="6" t="s">
        <v>963</v>
      </c>
      <c r="Q12" s="6"/>
      <c r="R12" s="6" t="s">
        <v>42</v>
      </c>
      <c r="S12" s="6" t="s">
        <v>964</v>
      </c>
      <c r="T12" s="6"/>
      <c r="U12" s="6" t="s">
        <v>965</v>
      </c>
      <c r="V12" s="6"/>
      <c r="W12" s="6" t="s">
        <v>966</v>
      </c>
      <c r="X12" s="6" t="s">
        <v>346</v>
      </c>
      <c r="Y12" s="6"/>
      <c r="Z12" s="6" t="s">
        <v>57</v>
      </c>
      <c r="AA12" s="6"/>
      <c r="AB12" s="6"/>
      <c r="AC12" s="6" t="s">
        <v>967</v>
      </c>
      <c r="AD12" s="6" t="s">
        <v>968</v>
      </c>
      <c r="AE12" s="6" t="s">
        <v>969</v>
      </c>
      <c r="AF12" s="6" t="s">
        <v>970</v>
      </c>
      <c r="AG12" s="6" t="s">
        <v>971</v>
      </c>
      <c r="AH12" s="6" t="s">
        <v>972</v>
      </c>
      <c r="AI12" s="6" t="s">
        <v>973</v>
      </c>
      <c r="AJ12" s="6" t="s">
        <v>974</v>
      </c>
      <c r="AK12" s="6" t="s">
        <v>267</v>
      </c>
      <c r="AL12" s="6" t="s">
        <v>45</v>
      </c>
      <c r="AM12" s="6" t="s">
        <v>44</v>
      </c>
      <c r="AN12" s="6" t="s">
        <v>975</v>
      </c>
    </row>
    <row r="13" customFormat="false" ht="247.75" hidden="false" customHeight="false" outlineLevel="0" collapsed="false">
      <c r="A13" s="6" t="s">
        <v>103</v>
      </c>
      <c r="B13" s="6" t="s">
        <v>104</v>
      </c>
      <c r="C13" s="6" t="n">
        <v>30</v>
      </c>
      <c r="D13" s="6" t="s">
        <v>40</v>
      </c>
      <c r="E13" s="6" t="n">
        <v>30</v>
      </c>
      <c r="F13" s="6" t="s">
        <v>714</v>
      </c>
      <c r="G13" s="6" t="s">
        <v>976</v>
      </c>
      <c r="H13" s="6" t="s">
        <v>977</v>
      </c>
      <c r="I13" s="6" t="s">
        <v>978</v>
      </c>
      <c r="J13" s="6" t="s">
        <v>979</v>
      </c>
      <c r="K13" s="6" t="s">
        <v>980</v>
      </c>
      <c r="L13" s="6" t="n">
        <v>12</v>
      </c>
      <c r="M13" s="6" t="s">
        <v>981</v>
      </c>
      <c r="N13" s="6" t="s">
        <v>982</v>
      </c>
      <c r="O13" s="6" t="s">
        <v>983</v>
      </c>
      <c r="P13" s="6" t="s">
        <v>984</v>
      </c>
      <c r="Q13" s="6" t="s">
        <v>105</v>
      </c>
      <c r="R13" s="6" t="s">
        <v>52</v>
      </c>
      <c r="S13" s="6" t="s">
        <v>985</v>
      </c>
      <c r="T13" s="6" t="s">
        <v>986</v>
      </c>
      <c r="U13" s="6" t="s">
        <v>987</v>
      </c>
      <c r="V13" s="6" t="s">
        <v>988</v>
      </c>
      <c r="W13" s="6" t="s">
        <v>989</v>
      </c>
      <c r="X13" s="6" t="s">
        <v>990</v>
      </c>
      <c r="Y13" s="6"/>
      <c r="Z13" s="6" t="s">
        <v>57</v>
      </c>
      <c r="AA13" s="6" t="s">
        <v>991</v>
      </c>
      <c r="AB13" s="6" t="s">
        <v>992</v>
      </c>
      <c r="AC13" s="6" t="s">
        <v>993</v>
      </c>
      <c r="AD13" s="6" t="s">
        <v>994</v>
      </c>
      <c r="AE13" s="6" t="s">
        <v>995</v>
      </c>
      <c r="AF13" s="6" t="s">
        <v>996</v>
      </c>
      <c r="AG13" s="6" t="s">
        <v>997</v>
      </c>
      <c r="AH13" s="6" t="s">
        <v>998</v>
      </c>
      <c r="AI13" s="6" t="s">
        <v>999</v>
      </c>
      <c r="AJ13" s="6" t="s">
        <v>1000</v>
      </c>
      <c r="AK13" s="6" t="s">
        <v>267</v>
      </c>
      <c r="AL13" s="6" t="s">
        <v>45</v>
      </c>
      <c r="AM13" s="6" t="s">
        <v>44</v>
      </c>
      <c r="AN13" s="6" t="s">
        <v>1001</v>
      </c>
    </row>
    <row r="14" customFormat="false" ht="314.9" hidden="false" customHeight="false" outlineLevel="0" collapsed="false">
      <c r="A14" s="6" t="s">
        <v>107</v>
      </c>
      <c r="B14" s="6" t="s">
        <v>108</v>
      </c>
      <c r="C14" s="6" t="n">
        <v>30</v>
      </c>
      <c r="D14" s="6" t="s">
        <v>40</v>
      </c>
      <c r="E14" s="6" t="n">
        <v>30</v>
      </c>
      <c r="F14" s="6" t="s">
        <v>714</v>
      </c>
      <c r="G14" s="6" t="s">
        <v>1002</v>
      </c>
      <c r="H14" s="6" t="s">
        <v>1003</v>
      </c>
      <c r="I14" s="6" t="s">
        <v>1004</v>
      </c>
      <c r="J14" s="6" t="s">
        <v>1005</v>
      </c>
      <c r="K14" s="6" t="s">
        <v>1006</v>
      </c>
      <c r="L14" s="6" t="n">
        <v>12</v>
      </c>
      <c r="M14" s="6" t="s">
        <v>1007</v>
      </c>
      <c r="N14" s="6" t="s">
        <v>1008</v>
      </c>
      <c r="O14" s="6" t="s">
        <v>1009</v>
      </c>
      <c r="P14" s="6" t="s">
        <v>1010</v>
      </c>
      <c r="Q14" s="6" t="s">
        <v>109</v>
      </c>
      <c r="R14" s="6" t="s">
        <v>52</v>
      </c>
      <c r="S14" s="6"/>
      <c r="T14" s="6" t="s">
        <v>1011</v>
      </c>
      <c r="U14" s="6" t="s">
        <v>1012</v>
      </c>
      <c r="V14" s="6" t="s">
        <v>1013</v>
      </c>
      <c r="W14" s="6" t="s">
        <v>1014</v>
      </c>
      <c r="X14" s="6" t="s">
        <v>1015</v>
      </c>
      <c r="Y14" s="6" t="n">
        <v>30</v>
      </c>
      <c r="Z14" s="6" t="s">
        <v>40</v>
      </c>
      <c r="AA14" s="6" t="s">
        <v>1016</v>
      </c>
      <c r="AB14" s="6" t="s">
        <v>1017</v>
      </c>
      <c r="AC14" s="6" t="s">
        <v>1018</v>
      </c>
      <c r="AD14" s="6" t="s">
        <v>1019</v>
      </c>
      <c r="AE14" s="6" t="s">
        <v>1015</v>
      </c>
      <c r="AF14" s="6" t="s">
        <v>1020</v>
      </c>
      <c r="AG14" s="6" t="s">
        <v>1021</v>
      </c>
      <c r="AH14" s="6" t="s">
        <v>1022</v>
      </c>
      <c r="AI14" s="6" t="s">
        <v>1023</v>
      </c>
      <c r="AJ14" s="6" t="s">
        <v>1024</v>
      </c>
      <c r="AK14" s="6" t="s">
        <v>267</v>
      </c>
      <c r="AL14" s="6" t="s">
        <v>45</v>
      </c>
      <c r="AM14" s="6" t="s">
        <v>44</v>
      </c>
      <c r="AN14" s="6" t="s">
        <v>1025</v>
      </c>
    </row>
    <row r="15" customFormat="false" ht="594.75" hidden="false" customHeight="false" outlineLevel="0" collapsed="false">
      <c r="A15" s="6" t="s">
        <v>111</v>
      </c>
      <c r="B15" s="6" t="s">
        <v>112</v>
      </c>
      <c r="C15" s="6" t="n">
        <v>30</v>
      </c>
      <c r="D15" s="6" t="s">
        <v>40</v>
      </c>
      <c r="E15" s="6" t="n">
        <v>30</v>
      </c>
      <c r="F15" s="6" t="s">
        <v>714</v>
      </c>
      <c r="G15" s="6"/>
      <c r="H15" s="6" t="s">
        <v>1026</v>
      </c>
      <c r="I15" s="6" t="s">
        <v>1027</v>
      </c>
      <c r="J15" s="6" t="s">
        <v>1028</v>
      </c>
      <c r="K15" s="6" t="s">
        <v>1029</v>
      </c>
      <c r="L15" s="6" t="n">
        <v>12</v>
      </c>
      <c r="M15" s="6" t="s">
        <v>1030</v>
      </c>
      <c r="N15" s="6" t="s">
        <v>1031</v>
      </c>
      <c r="O15" s="6" t="s">
        <v>1032</v>
      </c>
      <c r="P15" s="6" t="s">
        <v>373</v>
      </c>
      <c r="Q15" s="6" t="s">
        <v>114</v>
      </c>
      <c r="R15" s="6" t="s">
        <v>115</v>
      </c>
      <c r="S15" s="6" t="s">
        <v>1033</v>
      </c>
      <c r="T15" s="6" t="s">
        <v>1034</v>
      </c>
      <c r="U15" s="6" t="s">
        <v>1035</v>
      </c>
      <c r="V15" s="6"/>
      <c r="W15" s="6" t="s">
        <v>1036</v>
      </c>
      <c r="X15" s="6" t="s">
        <v>373</v>
      </c>
      <c r="Y15" s="6"/>
      <c r="Z15" s="6" t="s">
        <v>57</v>
      </c>
      <c r="AA15" s="6"/>
      <c r="AB15" s="6"/>
      <c r="AC15" s="6" t="s">
        <v>1037</v>
      </c>
      <c r="AD15" s="6" t="s">
        <v>1038</v>
      </c>
      <c r="AE15" s="6" t="s">
        <v>1039</v>
      </c>
      <c r="AF15" s="6" t="s">
        <v>1040</v>
      </c>
      <c r="AG15" s="6"/>
      <c r="AH15" s="6" t="s">
        <v>1041</v>
      </c>
      <c r="AI15" s="6" t="s">
        <v>1042</v>
      </c>
      <c r="AJ15" s="6" t="s">
        <v>1043</v>
      </c>
      <c r="AK15" s="6" t="s">
        <v>267</v>
      </c>
      <c r="AL15" s="6" t="s">
        <v>45</v>
      </c>
      <c r="AM15" s="6" t="s">
        <v>44</v>
      </c>
      <c r="AN15" s="6" t="s">
        <v>1044</v>
      </c>
    </row>
    <row r="16" customFormat="false" ht="494" hidden="false" customHeight="false" outlineLevel="0" collapsed="false">
      <c r="A16" s="6" t="s">
        <v>117</v>
      </c>
      <c r="B16" s="6" t="s">
        <v>118</v>
      </c>
      <c r="C16" s="6" t="n">
        <v>30</v>
      </c>
      <c r="D16" s="6" t="s">
        <v>57</v>
      </c>
      <c r="E16" s="6" t="n">
        <v>30</v>
      </c>
      <c r="F16" s="6" t="s">
        <v>714</v>
      </c>
      <c r="G16" s="6"/>
      <c r="H16" s="6" t="s">
        <v>1045</v>
      </c>
      <c r="I16" s="6" t="s">
        <v>1046</v>
      </c>
      <c r="J16" s="6" t="s">
        <v>1047</v>
      </c>
      <c r="K16" s="6" t="s">
        <v>1048</v>
      </c>
      <c r="L16" s="6" t="n">
        <v>12</v>
      </c>
      <c r="M16" s="6" t="s">
        <v>1049</v>
      </c>
      <c r="N16" s="6" t="s">
        <v>1050</v>
      </c>
      <c r="O16" s="6" t="s">
        <v>1051</v>
      </c>
      <c r="P16" s="6" t="s">
        <v>1052</v>
      </c>
      <c r="Q16" s="6" t="s">
        <v>119</v>
      </c>
      <c r="R16" s="6" t="s">
        <v>120</v>
      </c>
      <c r="S16" s="6" t="s">
        <v>1053</v>
      </c>
      <c r="T16" s="6" t="s">
        <v>1054</v>
      </c>
      <c r="U16" s="6" t="s">
        <v>1055</v>
      </c>
      <c r="V16" s="6" t="s">
        <v>1056</v>
      </c>
      <c r="W16" s="6" t="s">
        <v>1057</v>
      </c>
      <c r="X16" s="6" t="s">
        <v>383</v>
      </c>
      <c r="Y16" s="6" t="n">
        <v>60</v>
      </c>
      <c r="Z16" s="6" t="s">
        <v>40</v>
      </c>
      <c r="AA16" s="6" t="s">
        <v>1058</v>
      </c>
      <c r="AB16" s="6" t="s">
        <v>1059</v>
      </c>
      <c r="AC16" s="6" t="s">
        <v>1060</v>
      </c>
      <c r="AD16" s="6" t="s">
        <v>1061</v>
      </c>
      <c r="AE16" s="6" t="s">
        <v>1062</v>
      </c>
      <c r="AF16" s="6" t="s">
        <v>1063</v>
      </c>
      <c r="AG16" s="6" t="s">
        <v>1064</v>
      </c>
      <c r="AH16" s="6" t="s">
        <v>1065</v>
      </c>
      <c r="AI16" s="6" t="s">
        <v>1066</v>
      </c>
      <c r="AJ16" s="6" t="s">
        <v>1067</v>
      </c>
      <c r="AK16" s="6" t="s">
        <v>267</v>
      </c>
      <c r="AL16" s="6" t="s">
        <v>45</v>
      </c>
      <c r="AM16" s="6" t="s">
        <v>44</v>
      </c>
      <c r="AN16" s="6" t="s">
        <v>1068</v>
      </c>
    </row>
    <row r="17" customFormat="false" ht="247.75" hidden="false" customHeight="false" outlineLevel="0" collapsed="false">
      <c r="A17" s="6" t="s">
        <v>121</v>
      </c>
      <c r="B17" s="6" t="s">
        <v>122</v>
      </c>
      <c r="C17" s="6" t="n">
        <v>30</v>
      </c>
      <c r="D17" s="6" t="s">
        <v>40</v>
      </c>
      <c r="E17" s="6" t="n">
        <v>30</v>
      </c>
      <c r="F17" s="6" t="s">
        <v>714</v>
      </c>
      <c r="G17" s="6" t="s">
        <v>1069</v>
      </c>
      <c r="H17" s="6"/>
      <c r="I17" s="6" t="s">
        <v>1070</v>
      </c>
      <c r="J17" s="6" t="s">
        <v>1071</v>
      </c>
      <c r="K17" s="6" t="s">
        <v>1072</v>
      </c>
      <c r="L17" s="6" t="n">
        <v>12</v>
      </c>
      <c r="M17" s="6" t="s">
        <v>1073</v>
      </c>
      <c r="N17" s="6" t="s">
        <v>1074</v>
      </c>
      <c r="O17" s="6" t="s">
        <v>1075</v>
      </c>
      <c r="P17" s="6" t="s">
        <v>1072</v>
      </c>
      <c r="Q17" s="6" t="s">
        <v>105</v>
      </c>
      <c r="R17" s="6" t="s">
        <v>52</v>
      </c>
      <c r="S17" s="6" t="s">
        <v>985</v>
      </c>
      <c r="T17" s="6" t="s">
        <v>986</v>
      </c>
      <c r="U17" s="6" t="s">
        <v>987</v>
      </c>
      <c r="V17" s="6" t="s">
        <v>1076</v>
      </c>
      <c r="W17" s="6" t="s">
        <v>1077</v>
      </c>
      <c r="X17" s="6" t="s">
        <v>1078</v>
      </c>
      <c r="Y17" s="6"/>
      <c r="Z17" s="6" t="s">
        <v>57</v>
      </c>
      <c r="AA17" s="6" t="s">
        <v>1079</v>
      </c>
      <c r="AB17" s="6" t="s">
        <v>1080</v>
      </c>
      <c r="AC17" s="6" t="s">
        <v>1081</v>
      </c>
      <c r="AD17" s="6" t="s">
        <v>1082</v>
      </c>
      <c r="AE17" s="6" t="s">
        <v>1083</v>
      </c>
      <c r="AF17" s="6" t="s">
        <v>1084</v>
      </c>
      <c r="AG17" s="6" t="s">
        <v>1085</v>
      </c>
      <c r="AH17" s="6" t="s">
        <v>1086</v>
      </c>
      <c r="AI17" s="6" t="s">
        <v>1087</v>
      </c>
      <c r="AJ17" s="6" t="s">
        <v>396</v>
      </c>
      <c r="AK17" s="6" t="s">
        <v>267</v>
      </c>
      <c r="AL17" s="6" t="s">
        <v>45</v>
      </c>
      <c r="AM17" s="6" t="s">
        <v>44</v>
      </c>
      <c r="AN17" s="6" t="s">
        <v>1088</v>
      </c>
    </row>
    <row r="18" customFormat="false" ht="863.4" hidden="false" customHeight="false" outlineLevel="0" collapsed="false">
      <c r="A18" s="6" t="s">
        <v>124</v>
      </c>
      <c r="B18" s="6" t="s">
        <v>125</v>
      </c>
      <c r="C18" s="6" t="n">
        <v>30</v>
      </c>
      <c r="D18" s="6" t="s">
        <v>40</v>
      </c>
      <c r="E18" s="6" t="n">
        <v>30</v>
      </c>
      <c r="F18" s="6" t="s">
        <v>714</v>
      </c>
      <c r="G18" s="6" t="s">
        <v>1089</v>
      </c>
      <c r="H18" s="6" t="s">
        <v>1090</v>
      </c>
      <c r="I18" s="6" t="s">
        <v>1091</v>
      </c>
      <c r="J18" s="6" t="s">
        <v>1092</v>
      </c>
      <c r="K18" s="6" t="s">
        <v>1093</v>
      </c>
      <c r="L18" s="6" t="n">
        <v>12</v>
      </c>
      <c r="M18" s="6" t="s">
        <v>1094</v>
      </c>
      <c r="N18" s="6" t="s">
        <v>1095</v>
      </c>
      <c r="O18" s="6" t="s">
        <v>1096</v>
      </c>
      <c r="P18" s="6" t="s">
        <v>1097</v>
      </c>
      <c r="Q18" s="6"/>
      <c r="R18" s="6" t="s">
        <v>42</v>
      </c>
      <c r="S18" s="6" t="s">
        <v>1098</v>
      </c>
      <c r="T18" s="6"/>
      <c r="U18" s="6" t="s">
        <v>1099</v>
      </c>
      <c r="V18" s="6"/>
      <c r="W18" s="6" t="s">
        <v>1100</v>
      </c>
      <c r="X18" s="6" t="s">
        <v>1101</v>
      </c>
      <c r="Y18" s="6"/>
      <c r="Z18" s="6" t="s">
        <v>57</v>
      </c>
      <c r="AA18" s="6"/>
      <c r="AB18" s="6"/>
      <c r="AC18" s="6" t="s">
        <v>1102</v>
      </c>
      <c r="AD18" s="6" t="s">
        <v>1103</v>
      </c>
      <c r="AE18" s="6" t="s">
        <v>1104</v>
      </c>
      <c r="AF18" s="6" t="s">
        <v>1105</v>
      </c>
      <c r="AG18" s="6" t="s">
        <v>1106</v>
      </c>
      <c r="AH18" s="6" t="s">
        <v>1107</v>
      </c>
      <c r="AI18" s="6" t="s">
        <v>1108</v>
      </c>
      <c r="AJ18" s="6" t="s">
        <v>1109</v>
      </c>
      <c r="AK18" s="6" t="s">
        <v>267</v>
      </c>
      <c r="AL18" s="6" t="s">
        <v>45</v>
      </c>
      <c r="AM18" s="6" t="s">
        <v>44</v>
      </c>
      <c r="AN18" s="6" t="s">
        <v>1110</v>
      </c>
    </row>
    <row r="19" customFormat="false" ht="516.4" hidden="false" customHeight="false" outlineLevel="0" collapsed="false">
      <c r="A19" s="6" t="s">
        <v>127</v>
      </c>
      <c r="B19" s="6" t="s">
        <v>128</v>
      </c>
      <c r="C19" s="6" t="n">
        <v>30</v>
      </c>
      <c r="D19" s="6" t="s">
        <v>57</v>
      </c>
      <c r="E19" s="6" t="n">
        <v>30</v>
      </c>
      <c r="F19" s="6" t="s">
        <v>714</v>
      </c>
      <c r="G19" s="6" t="s">
        <v>1111</v>
      </c>
      <c r="H19" s="6"/>
      <c r="I19" s="6" t="s">
        <v>1112</v>
      </c>
      <c r="J19" s="6" t="s">
        <v>1113</v>
      </c>
      <c r="K19" s="6" t="s">
        <v>1114</v>
      </c>
      <c r="L19" s="6" t="n">
        <v>12</v>
      </c>
      <c r="M19" s="6" t="s">
        <v>1115</v>
      </c>
      <c r="N19" s="6" t="s">
        <v>1116</v>
      </c>
      <c r="O19" s="6" t="s">
        <v>1117</v>
      </c>
      <c r="P19" s="6" t="s">
        <v>1118</v>
      </c>
      <c r="Q19" s="6" t="s">
        <v>129</v>
      </c>
      <c r="R19" s="6" t="s">
        <v>52</v>
      </c>
      <c r="S19" s="6" t="s">
        <v>1119</v>
      </c>
      <c r="T19" s="6" t="s">
        <v>1120</v>
      </c>
      <c r="U19" s="6" t="s">
        <v>1121</v>
      </c>
      <c r="V19" s="6" t="s">
        <v>1122</v>
      </c>
      <c r="W19" s="6" t="s">
        <v>1123</v>
      </c>
      <c r="X19" s="6" t="s">
        <v>1124</v>
      </c>
      <c r="Y19" s="6" t="n">
        <v>45</v>
      </c>
      <c r="Z19" s="6" t="s">
        <v>40</v>
      </c>
      <c r="AA19" s="6" t="s">
        <v>1125</v>
      </c>
      <c r="AB19" s="6" t="s">
        <v>1126</v>
      </c>
      <c r="AC19" s="6" t="s">
        <v>1127</v>
      </c>
      <c r="AD19" s="6" t="s">
        <v>1128</v>
      </c>
      <c r="AE19" s="6" t="s">
        <v>1129</v>
      </c>
      <c r="AF19" s="6" t="s">
        <v>1130</v>
      </c>
      <c r="AG19" s="6" t="s">
        <v>1131</v>
      </c>
      <c r="AH19" s="6" t="s">
        <v>1132</v>
      </c>
      <c r="AI19" s="6" t="s">
        <v>1133</v>
      </c>
      <c r="AJ19" s="6" t="s">
        <v>1134</v>
      </c>
      <c r="AK19" s="6" t="s">
        <v>267</v>
      </c>
      <c r="AL19" s="6" t="s">
        <v>45</v>
      </c>
      <c r="AM19" s="6" t="s">
        <v>44</v>
      </c>
      <c r="AN19" s="6" t="s">
        <v>1135</v>
      </c>
    </row>
    <row r="20" customFormat="false" ht="706.7" hidden="false" customHeight="false" outlineLevel="0" collapsed="false">
      <c r="A20" s="6" t="s">
        <v>131</v>
      </c>
      <c r="B20" s="6" t="s">
        <v>132</v>
      </c>
      <c r="C20" s="6" t="n">
        <v>30</v>
      </c>
      <c r="D20" s="6" t="s">
        <v>40</v>
      </c>
      <c r="E20" s="6" t="n">
        <v>30</v>
      </c>
      <c r="F20" s="6" t="s">
        <v>714</v>
      </c>
      <c r="G20" s="6"/>
      <c r="H20" s="6"/>
      <c r="I20" s="6" t="s">
        <v>1136</v>
      </c>
      <c r="J20" s="6" t="s">
        <v>1137</v>
      </c>
      <c r="K20" s="6" t="s">
        <v>1138</v>
      </c>
      <c r="L20" s="6" t="n">
        <v>12</v>
      </c>
      <c r="M20" s="6" t="s">
        <v>1139</v>
      </c>
      <c r="N20" s="6" t="s">
        <v>1140</v>
      </c>
      <c r="O20" s="6" t="s">
        <v>1141</v>
      </c>
      <c r="P20" s="6" t="s">
        <v>1142</v>
      </c>
      <c r="Q20" s="6" t="s">
        <v>133</v>
      </c>
      <c r="R20" s="6" t="s">
        <v>134</v>
      </c>
      <c r="S20" s="6" t="s">
        <v>867</v>
      </c>
      <c r="T20" s="6" t="s">
        <v>1143</v>
      </c>
      <c r="U20" s="6" t="s">
        <v>1144</v>
      </c>
      <c r="V20" s="6" t="s">
        <v>870</v>
      </c>
      <c r="W20" s="6" t="s">
        <v>1145</v>
      </c>
      <c r="X20" s="6" t="s">
        <v>1146</v>
      </c>
      <c r="Y20" s="6" t="n">
        <v>30</v>
      </c>
      <c r="Z20" s="6" t="s">
        <v>40</v>
      </c>
      <c r="AA20" s="6" t="s">
        <v>1147</v>
      </c>
      <c r="AB20" s="6" t="s">
        <v>1148</v>
      </c>
      <c r="AC20" s="6" t="s">
        <v>1149</v>
      </c>
      <c r="AD20" s="6" t="s">
        <v>1150</v>
      </c>
      <c r="AE20" s="6" t="s">
        <v>1151</v>
      </c>
      <c r="AF20" s="6" t="s">
        <v>1152</v>
      </c>
      <c r="AG20" s="6"/>
      <c r="AH20" s="6" t="s">
        <v>1153</v>
      </c>
      <c r="AI20" s="6" t="s">
        <v>1154</v>
      </c>
      <c r="AJ20" s="6" t="s">
        <v>424</v>
      </c>
      <c r="AK20" s="6" t="s">
        <v>267</v>
      </c>
      <c r="AL20" s="6" t="s">
        <v>45</v>
      </c>
      <c r="AM20" s="6" t="s">
        <v>44</v>
      </c>
      <c r="AN20" s="6" t="s">
        <v>1155</v>
      </c>
    </row>
    <row r="21" customFormat="false" ht="415.65" hidden="false" customHeight="false" outlineLevel="0" collapsed="false">
      <c r="A21" s="6" t="s">
        <v>136</v>
      </c>
      <c r="B21" s="6" t="s">
        <v>137</v>
      </c>
      <c r="C21" s="6" t="n">
        <v>30</v>
      </c>
      <c r="D21" s="6" t="s">
        <v>40</v>
      </c>
      <c r="E21" s="6" t="n">
        <v>30</v>
      </c>
      <c r="F21" s="6" t="s">
        <v>714</v>
      </c>
      <c r="G21" s="6"/>
      <c r="H21" s="6"/>
      <c r="I21" s="6" t="s">
        <v>1156</v>
      </c>
      <c r="J21" s="6" t="s">
        <v>1157</v>
      </c>
      <c r="K21" s="6" t="s">
        <v>1158</v>
      </c>
      <c r="L21" s="6" t="n">
        <v>9</v>
      </c>
      <c r="M21" s="6" t="s">
        <v>1159</v>
      </c>
      <c r="N21" s="6" t="s">
        <v>1160</v>
      </c>
      <c r="O21" s="6" t="s">
        <v>1161</v>
      </c>
      <c r="P21" s="6" t="s">
        <v>1162</v>
      </c>
      <c r="Q21" s="6" t="s">
        <v>138</v>
      </c>
      <c r="R21" s="6" t="s">
        <v>52</v>
      </c>
      <c r="S21" s="6"/>
      <c r="T21" s="6" t="s">
        <v>1163</v>
      </c>
      <c r="U21" s="6" t="s">
        <v>1164</v>
      </c>
      <c r="V21" s="6" t="s">
        <v>1165</v>
      </c>
      <c r="W21" s="6" t="s">
        <v>1166</v>
      </c>
      <c r="X21" s="6" t="s">
        <v>1167</v>
      </c>
      <c r="Y21" s="6" t="n">
        <v>30</v>
      </c>
      <c r="Z21" s="6" t="s">
        <v>40</v>
      </c>
      <c r="AA21" s="6" t="s">
        <v>1168</v>
      </c>
      <c r="AB21" s="6" t="s">
        <v>1169</v>
      </c>
      <c r="AC21" s="6" t="s">
        <v>1170</v>
      </c>
      <c r="AD21" s="6" t="s">
        <v>1171</v>
      </c>
      <c r="AE21" s="6" t="s">
        <v>1172</v>
      </c>
      <c r="AF21" s="6" t="s">
        <v>1173</v>
      </c>
      <c r="AG21" s="6" t="s">
        <v>1174</v>
      </c>
      <c r="AH21" s="6" t="s">
        <v>1175</v>
      </c>
      <c r="AI21" s="6" t="s">
        <v>1176</v>
      </c>
      <c r="AJ21" s="6" t="s">
        <v>432</v>
      </c>
      <c r="AK21" s="6" t="s">
        <v>267</v>
      </c>
      <c r="AL21" s="6" t="s">
        <v>45</v>
      </c>
      <c r="AM21" s="6" t="s">
        <v>44</v>
      </c>
      <c r="AN21" s="6" t="s">
        <v>1177</v>
      </c>
    </row>
    <row r="22" customFormat="false" ht="426.85" hidden="false" customHeight="false" outlineLevel="0" collapsed="false">
      <c r="A22" s="6" t="s">
        <v>140</v>
      </c>
      <c r="B22" s="6" t="s">
        <v>141</v>
      </c>
      <c r="C22" s="6" t="n">
        <v>60</v>
      </c>
      <c r="D22" s="6" t="s">
        <v>57</v>
      </c>
      <c r="E22" s="6" t="n">
        <v>60</v>
      </c>
      <c r="F22" s="6" t="s">
        <v>714</v>
      </c>
      <c r="G22" s="6" t="s">
        <v>1178</v>
      </c>
      <c r="H22" s="6" t="s">
        <v>1179</v>
      </c>
      <c r="I22" s="6" t="s">
        <v>1180</v>
      </c>
      <c r="J22" s="6" t="s">
        <v>1181</v>
      </c>
      <c r="K22" s="6" t="s">
        <v>1182</v>
      </c>
      <c r="L22" s="6"/>
      <c r="M22" s="6"/>
      <c r="N22" s="6" t="s">
        <v>1183</v>
      </c>
      <c r="O22" s="6" t="s">
        <v>1184</v>
      </c>
      <c r="P22" s="6" t="s">
        <v>1185</v>
      </c>
      <c r="Q22" s="6"/>
      <c r="R22" s="6" t="s">
        <v>42</v>
      </c>
      <c r="S22" s="6" t="s">
        <v>1186</v>
      </c>
      <c r="T22" s="6"/>
      <c r="U22" s="6" t="s">
        <v>1187</v>
      </c>
      <c r="V22" s="6"/>
      <c r="W22" s="6" t="s">
        <v>1188</v>
      </c>
      <c r="X22" s="6" t="s">
        <v>1182</v>
      </c>
      <c r="Y22" s="6"/>
      <c r="Z22" s="6" t="s">
        <v>57</v>
      </c>
      <c r="AA22" s="6"/>
      <c r="AB22" s="6"/>
      <c r="AC22" s="6" t="s">
        <v>1189</v>
      </c>
      <c r="AD22" s="6" t="s">
        <v>1190</v>
      </c>
      <c r="AE22" s="6" t="s">
        <v>1191</v>
      </c>
      <c r="AF22" s="6" t="s">
        <v>1192</v>
      </c>
      <c r="AG22" s="6" t="s">
        <v>1193</v>
      </c>
      <c r="AH22" s="6" t="s">
        <v>1194</v>
      </c>
      <c r="AI22" s="6" t="s">
        <v>1195</v>
      </c>
      <c r="AJ22" s="6" t="s">
        <v>443</v>
      </c>
      <c r="AK22" s="6" t="s">
        <v>267</v>
      </c>
      <c r="AL22" s="6" t="s">
        <v>59</v>
      </c>
      <c r="AM22" s="6" t="s">
        <v>44</v>
      </c>
      <c r="AN22" s="6" t="s">
        <v>1196</v>
      </c>
    </row>
    <row r="23" customFormat="false" ht="527.6" hidden="false" customHeight="false" outlineLevel="0" collapsed="false">
      <c r="A23" s="6" t="s">
        <v>143</v>
      </c>
      <c r="B23" s="6" t="s">
        <v>144</v>
      </c>
      <c r="C23" s="6" t="n">
        <v>30</v>
      </c>
      <c r="D23" s="6" t="s">
        <v>40</v>
      </c>
      <c r="E23" s="6" t="n">
        <v>30</v>
      </c>
      <c r="F23" s="6" t="s">
        <v>714</v>
      </c>
      <c r="G23" s="6"/>
      <c r="H23" s="6" t="s">
        <v>1197</v>
      </c>
      <c r="I23" s="6" t="s">
        <v>1198</v>
      </c>
      <c r="J23" s="6" t="s">
        <v>1199</v>
      </c>
      <c r="K23" s="6" t="s">
        <v>1200</v>
      </c>
      <c r="L23" s="6" t="n">
        <v>12</v>
      </c>
      <c r="M23" s="6" t="s">
        <v>1201</v>
      </c>
      <c r="N23" s="6" t="s">
        <v>1202</v>
      </c>
      <c r="O23" s="6" t="s">
        <v>1203</v>
      </c>
      <c r="P23" s="6" t="s">
        <v>1204</v>
      </c>
      <c r="Q23" s="6" t="s">
        <v>133</v>
      </c>
      <c r="R23" s="6" t="s">
        <v>52</v>
      </c>
      <c r="S23" s="6" t="s">
        <v>1205</v>
      </c>
      <c r="T23" s="6" t="s">
        <v>1206</v>
      </c>
      <c r="U23" s="6" t="s">
        <v>1207</v>
      </c>
      <c r="V23" s="6" t="s">
        <v>1208</v>
      </c>
      <c r="W23" s="6" t="s">
        <v>1209</v>
      </c>
      <c r="X23" s="6" t="s">
        <v>1210</v>
      </c>
      <c r="Y23" s="6" t="n">
        <v>45</v>
      </c>
      <c r="Z23" s="6" t="s">
        <v>40</v>
      </c>
      <c r="AA23" s="6" t="s">
        <v>1211</v>
      </c>
      <c r="AB23" s="6" t="s">
        <v>1212</v>
      </c>
      <c r="AC23" s="6" t="s">
        <v>1213</v>
      </c>
      <c r="AD23" s="6" t="s">
        <v>1214</v>
      </c>
      <c r="AE23" s="6" t="s">
        <v>1215</v>
      </c>
      <c r="AF23" s="6" t="s">
        <v>1216</v>
      </c>
      <c r="AG23" s="6"/>
      <c r="AH23" s="6" t="s">
        <v>1217</v>
      </c>
      <c r="AI23" s="6" t="s">
        <v>1218</v>
      </c>
      <c r="AJ23" s="6" t="s">
        <v>1219</v>
      </c>
      <c r="AK23" s="6" t="s">
        <v>267</v>
      </c>
      <c r="AL23" s="6" t="s">
        <v>45</v>
      </c>
      <c r="AM23" s="6" t="s">
        <v>44</v>
      </c>
      <c r="AN23" s="6" t="s">
        <v>1220</v>
      </c>
    </row>
    <row r="24" customFormat="false" ht="460.4" hidden="false" customHeight="false" outlineLevel="0" collapsed="false">
      <c r="A24" s="6" t="s">
        <v>146</v>
      </c>
      <c r="B24" s="6" t="s">
        <v>147</v>
      </c>
      <c r="C24" s="6" t="n">
        <v>30</v>
      </c>
      <c r="D24" s="6" t="s">
        <v>40</v>
      </c>
      <c r="E24" s="6" t="n">
        <v>30</v>
      </c>
      <c r="F24" s="6" t="s">
        <v>714</v>
      </c>
      <c r="G24" s="6"/>
      <c r="H24" s="6" t="s">
        <v>1221</v>
      </c>
      <c r="I24" s="6" t="s">
        <v>1222</v>
      </c>
      <c r="J24" s="6" t="s">
        <v>1223</v>
      </c>
      <c r="K24" s="6" t="s">
        <v>1224</v>
      </c>
      <c r="L24" s="6" t="n">
        <v>12</v>
      </c>
      <c r="M24" s="6"/>
      <c r="N24" s="6" t="s">
        <v>1225</v>
      </c>
      <c r="O24" s="6" t="s">
        <v>1226</v>
      </c>
      <c r="P24" s="6" t="s">
        <v>1227</v>
      </c>
      <c r="Q24" s="6" t="s">
        <v>148</v>
      </c>
      <c r="R24" s="6" t="s">
        <v>52</v>
      </c>
      <c r="S24" s="6" t="s">
        <v>1228</v>
      </c>
      <c r="T24" s="6" t="s">
        <v>1229</v>
      </c>
      <c r="U24" s="6" t="s">
        <v>1230</v>
      </c>
      <c r="V24" s="6"/>
      <c r="W24" s="6" t="s">
        <v>1231</v>
      </c>
      <c r="X24" s="6" t="s">
        <v>1232</v>
      </c>
      <c r="Y24" s="6" t="n">
        <v>30</v>
      </c>
      <c r="Z24" s="6" t="s">
        <v>40</v>
      </c>
      <c r="AA24" s="6" t="s">
        <v>1233</v>
      </c>
      <c r="AB24" s="6" t="s">
        <v>1234</v>
      </c>
      <c r="AC24" s="6" t="s">
        <v>1235</v>
      </c>
      <c r="AD24" s="6" t="s">
        <v>1236</v>
      </c>
      <c r="AE24" s="6" t="s">
        <v>1237</v>
      </c>
      <c r="AF24" s="6" t="s">
        <v>1238</v>
      </c>
      <c r="AG24" s="6" t="s">
        <v>1239</v>
      </c>
      <c r="AH24" s="6" t="s">
        <v>1240</v>
      </c>
      <c r="AI24" s="6" t="s">
        <v>1241</v>
      </c>
      <c r="AJ24" s="6" t="s">
        <v>455</v>
      </c>
      <c r="AK24" s="6" t="s">
        <v>267</v>
      </c>
      <c r="AL24" s="6" t="s">
        <v>45</v>
      </c>
      <c r="AM24" s="6" t="s">
        <v>44</v>
      </c>
      <c r="AN24" s="6" t="s">
        <v>1242</v>
      </c>
    </row>
    <row r="25" customFormat="false" ht="415.65" hidden="false" customHeight="false" outlineLevel="0" collapsed="false">
      <c r="A25" s="6" t="s">
        <v>150</v>
      </c>
      <c r="B25" s="6" t="s">
        <v>151</v>
      </c>
      <c r="C25" s="6" t="n">
        <v>30</v>
      </c>
      <c r="D25" s="6" t="s">
        <v>40</v>
      </c>
      <c r="E25" s="6" t="n">
        <v>30</v>
      </c>
      <c r="F25" s="6" t="s">
        <v>714</v>
      </c>
      <c r="G25" s="6" t="s">
        <v>1243</v>
      </c>
      <c r="H25" s="6" t="s">
        <v>1244</v>
      </c>
      <c r="I25" s="6" t="s">
        <v>1245</v>
      </c>
      <c r="J25" s="6" t="s">
        <v>1246</v>
      </c>
      <c r="K25" s="6" t="s">
        <v>1247</v>
      </c>
      <c r="L25" s="6" t="n">
        <v>12</v>
      </c>
      <c r="M25" s="6" t="s">
        <v>1248</v>
      </c>
      <c r="N25" s="6" t="s">
        <v>1249</v>
      </c>
      <c r="O25" s="6" t="s">
        <v>1250</v>
      </c>
      <c r="P25" s="6" t="s">
        <v>1251</v>
      </c>
      <c r="Q25" s="6" t="s">
        <v>152</v>
      </c>
      <c r="R25" s="6" t="s">
        <v>42</v>
      </c>
      <c r="S25" s="6"/>
      <c r="T25" s="6" t="s">
        <v>1252</v>
      </c>
      <c r="U25" s="6" t="s">
        <v>1253</v>
      </c>
      <c r="V25" s="6"/>
      <c r="W25" s="6" t="s">
        <v>1254</v>
      </c>
      <c r="X25" s="6" t="s">
        <v>1255</v>
      </c>
      <c r="Y25" s="6"/>
      <c r="Z25" s="6" t="s">
        <v>57</v>
      </c>
      <c r="AA25" s="6" t="s">
        <v>1256</v>
      </c>
      <c r="AB25" s="6"/>
      <c r="AC25" s="6" t="s">
        <v>1257</v>
      </c>
      <c r="AD25" s="6" t="s">
        <v>1258</v>
      </c>
      <c r="AE25" s="6" t="s">
        <v>1259</v>
      </c>
      <c r="AF25" s="6" t="s">
        <v>1260</v>
      </c>
      <c r="AG25" s="6" t="s">
        <v>1261</v>
      </c>
      <c r="AH25" s="6" t="s">
        <v>1262</v>
      </c>
      <c r="AI25" s="6" t="s">
        <v>1263</v>
      </c>
      <c r="AJ25" s="6" t="s">
        <v>462</v>
      </c>
      <c r="AK25" s="6" t="s">
        <v>267</v>
      </c>
      <c r="AL25" s="6" t="s">
        <v>45</v>
      </c>
      <c r="AM25" s="6" t="s">
        <v>44</v>
      </c>
      <c r="AN25" s="6" t="s">
        <v>1264</v>
      </c>
    </row>
    <row r="26" customFormat="false" ht="661.9" hidden="false" customHeight="false" outlineLevel="0" collapsed="false">
      <c r="A26" s="6" t="s">
        <v>154</v>
      </c>
      <c r="B26" s="6" t="s">
        <v>155</v>
      </c>
      <c r="C26" s="6" t="n">
        <v>30</v>
      </c>
      <c r="D26" s="6" t="s">
        <v>57</v>
      </c>
      <c r="E26" s="6" t="n">
        <v>30</v>
      </c>
      <c r="F26" s="6" t="s">
        <v>714</v>
      </c>
      <c r="G26" s="6"/>
      <c r="H26" s="6" t="s">
        <v>1265</v>
      </c>
      <c r="I26" s="6" t="s">
        <v>1266</v>
      </c>
      <c r="J26" s="6" t="s">
        <v>1267</v>
      </c>
      <c r="K26" s="6" t="s">
        <v>1268</v>
      </c>
      <c r="L26" s="6" t="n">
        <v>12</v>
      </c>
      <c r="M26" s="6" t="s">
        <v>1269</v>
      </c>
      <c r="N26" s="6" t="s">
        <v>1270</v>
      </c>
      <c r="O26" s="6" t="s">
        <v>1271</v>
      </c>
      <c r="P26" s="6" t="s">
        <v>1272</v>
      </c>
      <c r="Q26" s="6" t="s">
        <v>156</v>
      </c>
      <c r="R26" s="6" t="s">
        <v>52</v>
      </c>
      <c r="S26" s="6" t="s">
        <v>747</v>
      </c>
      <c r="T26" s="6" t="s">
        <v>1273</v>
      </c>
      <c r="U26" s="6" t="s">
        <v>1274</v>
      </c>
      <c r="V26" s="6" t="s">
        <v>1275</v>
      </c>
      <c r="W26" s="6" t="s">
        <v>1276</v>
      </c>
      <c r="X26" s="6" t="s">
        <v>1277</v>
      </c>
      <c r="Y26" s="6" t="n">
        <v>45</v>
      </c>
      <c r="Z26" s="6" t="s">
        <v>40</v>
      </c>
      <c r="AA26" s="6" t="s">
        <v>1278</v>
      </c>
      <c r="AB26" s="6" t="s">
        <v>1279</v>
      </c>
      <c r="AC26" s="6" t="s">
        <v>1280</v>
      </c>
      <c r="AD26" s="6" t="s">
        <v>1281</v>
      </c>
      <c r="AE26" s="6" t="s">
        <v>1282</v>
      </c>
      <c r="AF26" s="6" t="s">
        <v>1283</v>
      </c>
      <c r="AG26" s="6" t="s">
        <v>1284</v>
      </c>
      <c r="AH26" s="6" t="s">
        <v>1285</v>
      </c>
      <c r="AI26" s="6" t="s">
        <v>1286</v>
      </c>
      <c r="AJ26" s="6" t="s">
        <v>1287</v>
      </c>
      <c r="AK26" s="6" t="s">
        <v>469</v>
      </c>
      <c r="AL26" s="6" t="s">
        <v>59</v>
      </c>
      <c r="AM26" s="6" t="s">
        <v>44</v>
      </c>
      <c r="AN26" s="6" t="s">
        <v>1288</v>
      </c>
    </row>
    <row r="27" customFormat="false" ht="572.35" hidden="false" customHeight="false" outlineLevel="0" collapsed="false">
      <c r="A27" s="6" t="s">
        <v>158</v>
      </c>
      <c r="B27" s="6" t="s">
        <v>159</v>
      </c>
      <c r="C27" s="6" t="n">
        <v>30</v>
      </c>
      <c r="D27" s="6" t="s">
        <v>57</v>
      </c>
      <c r="E27" s="6" t="n">
        <v>30</v>
      </c>
      <c r="F27" s="6" t="s">
        <v>714</v>
      </c>
      <c r="G27" s="6"/>
      <c r="H27" s="6"/>
      <c r="I27" s="6" t="s">
        <v>1289</v>
      </c>
      <c r="J27" s="6" t="s">
        <v>1290</v>
      </c>
      <c r="K27" s="6" t="s">
        <v>1291</v>
      </c>
      <c r="L27" s="6" t="n">
        <v>12</v>
      </c>
      <c r="M27" s="6"/>
      <c r="N27" s="6" t="s">
        <v>1292</v>
      </c>
      <c r="O27" s="6" t="s">
        <v>1293</v>
      </c>
      <c r="P27" s="6" t="s">
        <v>1294</v>
      </c>
      <c r="Q27" s="6" t="s">
        <v>160</v>
      </c>
      <c r="R27" s="6" t="s">
        <v>52</v>
      </c>
      <c r="S27" s="6" t="s">
        <v>1295</v>
      </c>
      <c r="T27" s="6" t="s">
        <v>1296</v>
      </c>
      <c r="U27" s="6" t="s">
        <v>1297</v>
      </c>
      <c r="V27" s="6" t="s">
        <v>1298</v>
      </c>
      <c r="W27" s="6" t="s">
        <v>1299</v>
      </c>
      <c r="X27" s="6" t="s">
        <v>1300</v>
      </c>
      <c r="Y27" s="6" t="n">
        <v>30</v>
      </c>
      <c r="Z27" s="6" t="s">
        <v>40</v>
      </c>
      <c r="AA27" s="6" t="s">
        <v>1301</v>
      </c>
      <c r="AB27" s="6" t="s">
        <v>1302</v>
      </c>
      <c r="AC27" s="6" t="s">
        <v>1303</v>
      </c>
      <c r="AD27" s="6" t="s">
        <v>1304</v>
      </c>
      <c r="AE27" s="6" t="s">
        <v>1305</v>
      </c>
      <c r="AF27" s="6" t="s">
        <v>1306</v>
      </c>
      <c r="AG27" s="6" t="s">
        <v>1307</v>
      </c>
      <c r="AH27" s="6" t="s">
        <v>1308</v>
      </c>
      <c r="AI27" s="6" t="s">
        <v>1309</v>
      </c>
      <c r="AJ27" s="6" t="s">
        <v>477</v>
      </c>
      <c r="AK27" s="6" t="s">
        <v>267</v>
      </c>
      <c r="AL27" s="6" t="s">
        <v>45</v>
      </c>
      <c r="AM27" s="6" t="s">
        <v>44</v>
      </c>
      <c r="AN27" s="6" t="s">
        <v>1310</v>
      </c>
    </row>
    <row r="28" customFormat="false" ht="438.05" hidden="false" customHeight="false" outlineLevel="0" collapsed="false">
      <c r="A28" s="6" t="s">
        <v>162</v>
      </c>
      <c r="B28" s="6" t="s">
        <v>163</v>
      </c>
      <c r="C28" s="6" t="n">
        <v>30</v>
      </c>
      <c r="D28" s="6" t="s">
        <v>40</v>
      </c>
      <c r="E28" s="6" t="n">
        <v>30</v>
      </c>
      <c r="F28" s="6" t="s">
        <v>907</v>
      </c>
      <c r="G28" s="6"/>
      <c r="H28" s="6"/>
      <c r="I28" s="6" t="s">
        <v>1311</v>
      </c>
      <c r="J28" s="6" t="s">
        <v>1312</v>
      </c>
      <c r="K28" s="6" t="s">
        <v>1313</v>
      </c>
      <c r="L28" s="6" t="n">
        <v>12</v>
      </c>
      <c r="M28" s="6" t="s">
        <v>1314</v>
      </c>
      <c r="N28" s="6" t="s">
        <v>1315</v>
      </c>
      <c r="O28" s="6" t="s">
        <v>1316</v>
      </c>
      <c r="P28" s="6" t="s">
        <v>1317</v>
      </c>
      <c r="Q28" s="6"/>
      <c r="R28" s="6" t="s">
        <v>134</v>
      </c>
      <c r="S28" s="6"/>
      <c r="T28" s="6" t="s">
        <v>1318</v>
      </c>
      <c r="U28" s="6" t="s">
        <v>1319</v>
      </c>
      <c r="V28" s="6" t="s">
        <v>1320</v>
      </c>
      <c r="W28" s="6" t="s">
        <v>1321</v>
      </c>
      <c r="X28" s="6" t="s">
        <v>1322</v>
      </c>
      <c r="Y28" s="6" t="n">
        <v>30</v>
      </c>
      <c r="Z28" s="6" t="s">
        <v>40</v>
      </c>
      <c r="AA28" s="6" t="s">
        <v>1323</v>
      </c>
      <c r="AB28" s="6" t="s">
        <v>1324</v>
      </c>
      <c r="AC28" s="6" t="s">
        <v>1325</v>
      </c>
      <c r="AD28" s="6" t="s">
        <v>1326</v>
      </c>
      <c r="AE28" s="6" t="s">
        <v>1327</v>
      </c>
      <c r="AF28" s="6" t="s">
        <v>1328</v>
      </c>
      <c r="AG28" s="6" t="s">
        <v>1329</v>
      </c>
      <c r="AH28" s="6" t="s">
        <v>1330</v>
      </c>
      <c r="AI28" s="6" t="s">
        <v>1331</v>
      </c>
      <c r="AJ28" s="6" t="s">
        <v>484</v>
      </c>
      <c r="AK28" s="6" t="s">
        <v>267</v>
      </c>
      <c r="AL28" s="6" t="s">
        <v>45</v>
      </c>
      <c r="AM28" s="6" t="s">
        <v>44</v>
      </c>
      <c r="AN28" s="6" t="s">
        <v>1332</v>
      </c>
    </row>
    <row r="29" customFormat="false" ht="550" hidden="false" customHeight="false" outlineLevel="0" collapsed="false">
      <c r="A29" s="6" t="s">
        <v>164</v>
      </c>
      <c r="B29" s="6" t="s">
        <v>165</v>
      </c>
      <c r="C29" s="6" t="n">
        <v>30</v>
      </c>
      <c r="D29" s="6" t="s">
        <v>40</v>
      </c>
      <c r="E29" s="6" t="n">
        <v>30</v>
      </c>
      <c r="F29" s="6" t="s">
        <v>714</v>
      </c>
      <c r="G29" s="6" t="s">
        <v>1333</v>
      </c>
      <c r="H29" s="6" t="s">
        <v>1334</v>
      </c>
      <c r="I29" s="6" t="s">
        <v>1335</v>
      </c>
      <c r="J29" s="6" t="s">
        <v>1336</v>
      </c>
      <c r="K29" s="6" t="s">
        <v>1337</v>
      </c>
      <c r="L29" s="6" t="n">
        <v>12</v>
      </c>
      <c r="M29" s="6" t="s">
        <v>1338</v>
      </c>
      <c r="N29" s="6" t="s">
        <v>1339</v>
      </c>
      <c r="O29" s="6" t="s">
        <v>1340</v>
      </c>
      <c r="P29" s="6" t="s">
        <v>1341</v>
      </c>
      <c r="Q29" s="6" t="s">
        <v>166</v>
      </c>
      <c r="R29" s="6" t="s">
        <v>52</v>
      </c>
      <c r="S29" s="6" t="s">
        <v>1342</v>
      </c>
      <c r="T29" s="6" t="s">
        <v>1343</v>
      </c>
      <c r="U29" s="6" t="s">
        <v>1344</v>
      </c>
      <c r="V29" s="6" t="s">
        <v>1345</v>
      </c>
      <c r="W29" s="6" t="s">
        <v>1346</v>
      </c>
      <c r="X29" s="6" t="s">
        <v>1347</v>
      </c>
      <c r="Y29" s="6" t="n">
        <v>30</v>
      </c>
      <c r="Z29" s="6" t="s">
        <v>40</v>
      </c>
      <c r="AA29" s="6" t="s">
        <v>1348</v>
      </c>
      <c r="AB29" s="6" t="s">
        <v>1349</v>
      </c>
      <c r="AC29" s="6" t="s">
        <v>1350</v>
      </c>
      <c r="AD29" s="6" t="s">
        <v>1351</v>
      </c>
      <c r="AE29" s="6" t="s">
        <v>1352</v>
      </c>
      <c r="AF29" s="6" t="s">
        <v>1353</v>
      </c>
      <c r="AG29" s="6" t="s">
        <v>1354</v>
      </c>
      <c r="AH29" s="6" t="s">
        <v>1355</v>
      </c>
      <c r="AI29" s="6" t="s">
        <v>1356</v>
      </c>
      <c r="AJ29" s="6" t="s">
        <v>1357</v>
      </c>
      <c r="AK29" s="6" t="s">
        <v>267</v>
      </c>
      <c r="AL29" s="6" t="s">
        <v>45</v>
      </c>
      <c r="AM29" s="6" t="s">
        <v>44</v>
      </c>
      <c r="AN29" s="6" t="s">
        <v>1358</v>
      </c>
    </row>
    <row r="30" customFormat="false" ht="449.25" hidden="false" customHeight="false" outlineLevel="0" collapsed="false">
      <c r="A30" s="6" t="s">
        <v>168</v>
      </c>
      <c r="B30" s="6" t="s">
        <v>169</v>
      </c>
      <c r="C30" s="6" t="n">
        <v>30</v>
      </c>
      <c r="D30" s="6" t="s">
        <v>40</v>
      </c>
      <c r="E30" s="6" t="n">
        <v>30</v>
      </c>
      <c r="F30" s="6" t="s">
        <v>714</v>
      </c>
      <c r="G30" s="6" t="s">
        <v>1359</v>
      </c>
      <c r="H30" s="6" t="s">
        <v>1360</v>
      </c>
      <c r="I30" s="6" t="s">
        <v>1361</v>
      </c>
      <c r="J30" s="6" t="s">
        <v>1362</v>
      </c>
      <c r="K30" s="6" t="s">
        <v>1363</v>
      </c>
      <c r="L30" s="6" t="n">
        <v>12</v>
      </c>
      <c r="M30" s="6" t="s">
        <v>1364</v>
      </c>
      <c r="N30" s="6" t="s">
        <v>1365</v>
      </c>
      <c r="O30" s="6" t="s">
        <v>1366</v>
      </c>
      <c r="P30" s="6" t="s">
        <v>1367</v>
      </c>
      <c r="Q30" s="6"/>
      <c r="R30" s="6" t="s">
        <v>42</v>
      </c>
      <c r="S30" s="6" t="s">
        <v>1368</v>
      </c>
      <c r="T30" s="6" t="s">
        <v>772</v>
      </c>
      <c r="U30" s="6" t="s">
        <v>1369</v>
      </c>
      <c r="V30" s="6"/>
      <c r="W30" s="6" t="s">
        <v>1370</v>
      </c>
      <c r="X30" s="6" t="s">
        <v>1371</v>
      </c>
      <c r="Y30" s="6" t="n">
        <v>30</v>
      </c>
      <c r="Z30" s="6" t="s">
        <v>57</v>
      </c>
      <c r="AA30" s="6" t="s">
        <v>1372</v>
      </c>
      <c r="AB30" s="6" t="s">
        <v>1373</v>
      </c>
      <c r="AC30" s="6" t="s">
        <v>1374</v>
      </c>
      <c r="AD30" s="6" t="s">
        <v>1375</v>
      </c>
      <c r="AE30" s="6" t="s">
        <v>1376</v>
      </c>
      <c r="AF30" s="6" t="s">
        <v>1377</v>
      </c>
      <c r="AG30" s="6" t="s">
        <v>1378</v>
      </c>
      <c r="AH30" s="6" t="s">
        <v>1379</v>
      </c>
      <c r="AI30" s="6" t="s">
        <v>1380</v>
      </c>
      <c r="AJ30" s="6" t="s">
        <v>503</v>
      </c>
      <c r="AK30" s="6" t="s">
        <v>267</v>
      </c>
      <c r="AL30" s="6" t="s">
        <v>45</v>
      </c>
      <c r="AM30" s="6" t="s">
        <v>44</v>
      </c>
      <c r="AN30" s="6" t="s">
        <v>1381</v>
      </c>
    </row>
    <row r="31" customFormat="false" ht="796.25" hidden="false" customHeight="false" outlineLevel="0" collapsed="false">
      <c r="A31" s="6" t="s">
        <v>172</v>
      </c>
      <c r="B31" s="6" t="s">
        <v>173</v>
      </c>
      <c r="C31" s="6" t="n">
        <v>30</v>
      </c>
      <c r="D31" s="6" t="s">
        <v>40</v>
      </c>
      <c r="E31" s="6" t="n">
        <v>30</v>
      </c>
      <c r="F31" s="6" t="s">
        <v>714</v>
      </c>
      <c r="G31" s="6"/>
      <c r="H31" s="6"/>
      <c r="I31" s="6" t="s">
        <v>1382</v>
      </c>
      <c r="J31" s="6" t="s">
        <v>1383</v>
      </c>
      <c r="K31" s="6" t="s">
        <v>1384</v>
      </c>
      <c r="L31" s="6" t="n">
        <v>9</v>
      </c>
      <c r="M31" s="6" t="s">
        <v>1385</v>
      </c>
      <c r="N31" s="6" t="s">
        <v>1386</v>
      </c>
      <c r="O31" s="6" t="s">
        <v>1387</v>
      </c>
      <c r="P31" s="6" t="s">
        <v>1388</v>
      </c>
      <c r="Q31" s="6" t="s">
        <v>174</v>
      </c>
      <c r="R31" s="6" t="s">
        <v>42</v>
      </c>
      <c r="S31" s="6" t="s">
        <v>1389</v>
      </c>
      <c r="T31" s="6"/>
      <c r="U31" s="6" t="s">
        <v>1390</v>
      </c>
      <c r="V31" s="6"/>
      <c r="W31" s="6" t="s">
        <v>1391</v>
      </c>
      <c r="X31" s="6" t="s">
        <v>1392</v>
      </c>
      <c r="Y31" s="6"/>
      <c r="Z31" s="6" t="s">
        <v>57</v>
      </c>
      <c r="AA31" s="6"/>
      <c r="AB31" s="6"/>
      <c r="AC31" s="6" t="s">
        <v>1393</v>
      </c>
      <c r="AD31" s="6" t="s">
        <v>1394</v>
      </c>
      <c r="AE31" s="6" t="s">
        <v>1395</v>
      </c>
      <c r="AF31" s="6" t="s">
        <v>1396</v>
      </c>
      <c r="AG31" s="6" t="s">
        <v>1397</v>
      </c>
      <c r="AH31" s="6" t="s">
        <v>1398</v>
      </c>
      <c r="AI31" s="6" t="s">
        <v>1399</v>
      </c>
      <c r="AJ31" s="6" t="s">
        <v>509</v>
      </c>
      <c r="AK31" s="6" t="s">
        <v>267</v>
      </c>
      <c r="AL31" s="6" t="s">
        <v>45</v>
      </c>
      <c r="AM31" s="6" t="s">
        <v>44</v>
      </c>
      <c r="AN31" s="6" t="s">
        <v>1400</v>
      </c>
    </row>
    <row r="32" customFormat="false" ht="751.45" hidden="false" customHeight="false" outlineLevel="0" collapsed="false">
      <c r="A32" s="6" t="s">
        <v>176</v>
      </c>
      <c r="B32" s="6" t="s">
        <v>177</v>
      </c>
      <c r="C32" s="6" t="n">
        <v>30</v>
      </c>
      <c r="D32" s="6" t="s">
        <v>57</v>
      </c>
      <c r="E32" s="6" t="n">
        <v>30</v>
      </c>
      <c r="F32" s="6" t="s">
        <v>714</v>
      </c>
      <c r="G32" s="6"/>
      <c r="H32" s="6"/>
      <c r="I32" s="6" t="s">
        <v>1401</v>
      </c>
      <c r="J32" s="6" t="s">
        <v>1402</v>
      </c>
      <c r="K32" s="6" t="s">
        <v>1403</v>
      </c>
      <c r="L32" s="6" t="n">
        <v>12</v>
      </c>
      <c r="M32" s="6" t="s">
        <v>1404</v>
      </c>
      <c r="N32" s="6" t="s">
        <v>1405</v>
      </c>
      <c r="O32" s="6" t="s">
        <v>1406</v>
      </c>
      <c r="P32" s="6" t="s">
        <v>1403</v>
      </c>
      <c r="Q32" s="6" t="s">
        <v>178</v>
      </c>
      <c r="R32" s="6" t="s">
        <v>52</v>
      </c>
      <c r="S32" s="6" t="s">
        <v>1407</v>
      </c>
      <c r="T32" s="6" t="s">
        <v>1408</v>
      </c>
      <c r="U32" s="6" t="s">
        <v>1409</v>
      </c>
      <c r="V32" s="6" t="s">
        <v>1410</v>
      </c>
      <c r="W32" s="6" t="s">
        <v>1411</v>
      </c>
      <c r="X32" s="6" t="s">
        <v>1412</v>
      </c>
      <c r="Y32" s="6"/>
      <c r="Z32" s="6" t="s">
        <v>40</v>
      </c>
      <c r="AA32" s="6" t="s">
        <v>1413</v>
      </c>
      <c r="AB32" s="6" t="s">
        <v>1414</v>
      </c>
      <c r="AC32" s="6" t="s">
        <v>1415</v>
      </c>
      <c r="AD32" s="6" t="s">
        <v>1416</v>
      </c>
      <c r="AE32" s="6" t="s">
        <v>1417</v>
      </c>
      <c r="AF32" s="6" t="s">
        <v>1418</v>
      </c>
      <c r="AG32" s="6"/>
      <c r="AH32" s="6" t="s">
        <v>1419</v>
      </c>
      <c r="AI32" s="6" t="s">
        <v>1420</v>
      </c>
      <c r="AJ32" s="6" t="s">
        <v>1421</v>
      </c>
      <c r="AK32" s="6" t="s">
        <v>469</v>
      </c>
      <c r="AL32" s="6" t="s">
        <v>45</v>
      </c>
      <c r="AM32" s="6" t="s">
        <v>44</v>
      </c>
      <c r="AN32" s="6" t="s">
        <v>1422</v>
      </c>
    </row>
    <row r="33" customFormat="false" ht="348.5" hidden="false" customHeight="false" outlineLevel="0" collapsed="false">
      <c r="A33" s="6" t="s">
        <v>180</v>
      </c>
      <c r="B33" s="6" t="s">
        <v>181</v>
      </c>
      <c r="C33" s="6" t="n">
        <v>30</v>
      </c>
      <c r="D33" s="6" t="s">
        <v>40</v>
      </c>
      <c r="E33" s="6" t="n">
        <v>30</v>
      </c>
      <c r="F33" s="6" t="s">
        <v>907</v>
      </c>
      <c r="G33" s="6" t="s">
        <v>1423</v>
      </c>
      <c r="H33" s="6" t="s">
        <v>1424</v>
      </c>
      <c r="I33" s="6" t="s">
        <v>1425</v>
      </c>
      <c r="J33" s="6" t="s">
        <v>1426</v>
      </c>
      <c r="K33" s="6" t="s">
        <v>1427</v>
      </c>
      <c r="L33" s="6" t="n">
        <v>6</v>
      </c>
      <c r="M33" s="6" t="s">
        <v>1428</v>
      </c>
      <c r="N33" s="6" t="s">
        <v>1429</v>
      </c>
      <c r="O33" s="6" t="s">
        <v>1430</v>
      </c>
      <c r="P33" s="6" t="s">
        <v>1431</v>
      </c>
      <c r="Q33" s="6" t="s">
        <v>182</v>
      </c>
      <c r="R33" s="6" t="s">
        <v>52</v>
      </c>
      <c r="S33" s="6"/>
      <c r="T33" s="6"/>
      <c r="U33" s="6" t="s">
        <v>1432</v>
      </c>
      <c r="V33" s="6" t="s">
        <v>1433</v>
      </c>
      <c r="W33" s="6" t="s">
        <v>1434</v>
      </c>
      <c r="X33" s="6" t="s">
        <v>1435</v>
      </c>
      <c r="Y33" s="6"/>
      <c r="Z33" s="6" t="s">
        <v>57</v>
      </c>
      <c r="AA33" s="6" t="s">
        <v>1436</v>
      </c>
      <c r="AB33" s="6" t="s">
        <v>1437</v>
      </c>
      <c r="AC33" s="6"/>
      <c r="AD33" s="6" t="s">
        <v>1438</v>
      </c>
      <c r="AE33" s="6" t="s">
        <v>1439</v>
      </c>
      <c r="AF33" s="6" t="s">
        <v>1440</v>
      </c>
      <c r="AG33" s="6" t="s">
        <v>1441</v>
      </c>
      <c r="AH33" s="6" t="s">
        <v>1442</v>
      </c>
      <c r="AI33" s="6" t="s">
        <v>1443</v>
      </c>
      <c r="AJ33" s="6" t="s">
        <v>1444</v>
      </c>
      <c r="AK33" s="6" t="s">
        <v>267</v>
      </c>
      <c r="AL33" s="6" t="s">
        <v>45</v>
      </c>
      <c r="AM33" s="6" t="s">
        <v>44</v>
      </c>
      <c r="AN33" s="6" t="s">
        <v>1445</v>
      </c>
    </row>
    <row r="34" customFormat="false" ht="382.05" hidden="false" customHeight="false" outlineLevel="0" collapsed="false">
      <c r="A34" s="6" t="s">
        <v>184</v>
      </c>
      <c r="B34" s="6" t="s">
        <v>185</v>
      </c>
      <c r="C34" s="6" t="n">
        <v>30</v>
      </c>
      <c r="D34" s="6" t="s">
        <v>57</v>
      </c>
      <c r="E34" s="6" t="n">
        <v>30</v>
      </c>
      <c r="F34" s="6" t="s">
        <v>714</v>
      </c>
      <c r="G34" s="6"/>
      <c r="H34" s="6" t="s">
        <v>1446</v>
      </c>
      <c r="I34" s="6" t="s">
        <v>1447</v>
      </c>
      <c r="J34" s="6" t="s">
        <v>1448</v>
      </c>
      <c r="K34" s="6" t="s">
        <v>1449</v>
      </c>
      <c r="L34" s="6" t="n">
        <v>9</v>
      </c>
      <c r="M34" s="6"/>
      <c r="N34" s="6" t="s">
        <v>1450</v>
      </c>
      <c r="O34" s="6" t="s">
        <v>1451</v>
      </c>
      <c r="P34" s="6" t="s">
        <v>1452</v>
      </c>
      <c r="Q34" s="6"/>
      <c r="R34" s="6" t="s">
        <v>42</v>
      </c>
      <c r="S34" s="6" t="s">
        <v>1453</v>
      </c>
      <c r="T34" s="6"/>
      <c r="U34" s="6" t="s">
        <v>1454</v>
      </c>
      <c r="V34" s="6"/>
      <c r="W34" s="6" t="s">
        <v>1455</v>
      </c>
      <c r="X34" s="6" t="s">
        <v>534</v>
      </c>
      <c r="Y34" s="6"/>
      <c r="Z34" s="6" t="s">
        <v>57</v>
      </c>
      <c r="AA34" s="6"/>
      <c r="AB34" s="6"/>
      <c r="AC34" s="6"/>
      <c r="AD34" s="6"/>
      <c r="AE34" s="6"/>
      <c r="AF34" s="6" t="s">
        <v>1456</v>
      </c>
      <c r="AG34" s="6" t="s">
        <v>1457</v>
      </c>
      <c r="AH34" s="6" t="s">
        <v>1458</v>
      </c>
      <c r="AI34" s="6" t="s">
        <v>1459</v>
      </c>
      <c r="AJ34" s="6" t="s">
        <v>535</v>
      </c>
      <c r="AK34" s="6" t="s">
        <v>267</v>
      </c>
      <c r="AL34" s="6" t="s">
        <v>45</v>
      </c>
      <c r="AM34" s="6" t="s">
        <v>44</v>
      </c>
      <c r="AN34" s="6" t="s">
        <v>1460</v>
      </c>
    </row>
    <row r="35" customFormat="false" ht="404.45" hidden="false" customHeight="false" outlineLevel="0" collapsed="false">
      <c r="A35" s="6" t="s">
        <v>187</v>
      </c>
      <c r="B35" s="6" t="s">
        <v>188</v>
      </c>
      <c r="C35" s="6" t="n">
        <v>30</v>
      </c>
      <c r="D35" s="6" t="s">
        <v>40</v>
      </c>
      <c r="E35" s="6" t="n">
        <v>30</v>
      </c>
      <c r="F35" s="6" t="s">
        <v>714</v>
      </c>
      <c r="G35" s="6"/>
      <c r="H35" s="6" t="s">
        <v>1461</v>
      </c>
      <c r="I35" s="6" t="s">
        <v>1462</v>
      </c>
      <c r="J35" s="6" t="s">
        <v>1463</v>
      </c>
      <c r="K35" s="6" t="s">
        <v>1464</v>
      </c>
      <c r="L35" s="6" t="n">
        <v>12</v>
      </c>
      <c r="M35" s="6" t="s">
        <v>1465</v>
      </c>
      <c r="N35" s="6" t="s">
        <v>1466</v>
      </c>
      <c r="O35" s="6" t="s">
        <v>1467</v>
      </c>
      <c r="P35" s="6" t="s">
        <v>1468</v>
      </c>
      <c r="Q35" s="6" t="s">
        <v>189</v>
      </c>
      <c r="R35" s="6" t="s">
        <v>52</v>
      </c>
      <c r="S35" s="6"/>
      <c r="T35" s="6" t="s">
        <v>1469</v>
      </c>
      <c r="U35" s="6" t="s">
        <v>1470</v>
      </c>
      <c r="V35" s="6" t="s">
        <v>1471</v>
      </c>
      <c r="W35" s="6" t="s">
        <v>1472</v>
      </c>
      <c r="X35" s="6" t="s">
        <v>538</v>
      </c>
      <c r="Y35" s="6"/>
      <c r="Z35" s="6" t="s">
        <v>40</v>
      </c>
      <c r="AA35" s="6" t="s">
        <v>1473</v>
      </c>
      <c r="AB35" s="6" t="s">
        <v>1474</v>
      </c>
      <c r="AC35" s="6" t="s">
        <v>1475</v>
      </c>
      <c r="AD35" s="6" t="s">
        <v>1476</v>
      </c>
      <c r="AE35" s="6" t="s">
        <v>538</v>
      </c>
      <c r="AF35" s="6" t="s">
        <v>1477</v>
      </c>
      <c r="AG35" s="6" t="s">
        <v>1478</v>
      </c>
      <c r="AH35" s="6" t="s">
        <v>1479</v>
      </c>
      <c r="AI35" s="6" t="s">
        <v>1480</v>
      </c>
      <c r="AJ35" s="6" t="s">
        <v>1481</v>
      </c>
      <c r="AK35" s="6" t="s">
        <v>289</v>
      </c>
      <c r="AL35" s="6" t="s">
        <v>45</v>
      </c>
      <c r="AM35" s="6" t="s">
        <v>44</v>
      </c>
      <c r="AN35" s="6" t="s">
        <v>1482</v>
      </c>
    </row>
    <row r="36" customFormat="false" ht="471.6" hidden="false" customHeight="false" outlineLevel="0" collapsed="false">
      <c r="A36" s="6" t="s">
        <v>191</v>
      </c>
      <c r="B36" s="6" t="s">
        <v>192</v>
      </c>
      <c r="C36" s="6" t="n">
        <v>45</v>
      </c>
      <c r="D36" s="6" t="s">
        <v>57</v>
      </c>
      <c r="E36" s="6" t="n">
        <v>30</v>
      </c>
      <c r="F36" s="6" t="s">
        <v>714</v>
      </c>
      <c r="G36" s="6" t="s">
        <v>1483</v>
      </c>
      <c r="H36" s="6" t="s">
        <v>1484</v>
      </c>
      <c r="I36" s="6" t="s">
        <v>1485</v>
      </c>
      <c r="J36" s="6" t="s">
        <v>1486</v>
      </c>
      <c r="K36" s="6" t="s">
        <v>1487</v>
      </c>
      <c r="L36" s="6" t="n">
        <v>12</v>
      </c>
      <c r="M36" s="6" t="s">
        <v>1488</v>
      </c>
      <c r="N36" s="6" t="s">
        <v>1489</v>
      </c>
      <c r="O36" s="6" t="s">
        <v>1490</v>
      </c>
      <c r="P36" s="6" t="s">
        <v>1491</v>
      </c>
      <c r="Q36" s="6" t="s">
        <v>193</v>
      </c>
      <c r="R36" s="6" t="s">
        <v>120</v>
      </c>
      <c r="S36" s="6" t="s">
        <v>1492</v>
      </c>
      <c r="T36" s="6" t="s">
        <v>1493</v>
      </c>
      <c r="U36" s="6" t="s">
        <v>1494</v>
      </c>
      <c r="V36" s="6" t="s">
        <v>1495</v>
      </c>
      <c r="W36" s="6" t="s">
        <v>1496</v>
      </c>
      <c r="X36" s="6" t="s">
        <v>1497</v>
      </c>
      <c r="Y36" s="6" t="n">
        <v>30</v>
      </c>
      <c r="Z36" s="6" t="s">
        <v>40</v>
      </c>
      <c r="AA36" s="6" t="s">
        <v>1498</v>
      </c>
      <c r="AB36" s="6" t="s">
        <v>1499</v>
      </c>
      <c r="AC36" s="6" t="s">
        <v>1500</v>
      </c>
      <c r="AD36" s="6" t="s">
        <v>1501</v>
      </c>
      <c r="AE36" s="6" t="s">
        <v>1502</v>
      </c>
      <c r="AF36" s="6" t="s">
        <v>1503</v>
      </c>
      <c r="AG36" s="6" t="s">
        <v>1504</v>
      </c>
      <c r="AH36" s="6" t="s">
        <v>1505</v>
      </c>
      <c r="AI36" s="6" t="s">
        <v>1506</v>
      </c>
      <c r="AJ36" s="6" t="s">
        <v>1507</v>
      </c>
      <c r="AK36" s="6" t="s">
        <v>267</v>
      </c>
      <c r="AL36" s="6" t="s">
        <v>45</v>
      </c>
      <c r="AM36" s="6" t="s">
        <v>44</v>
      </c>
      <c r="AN36" s="6" t="s">
        <v>1508</v>
      </c>
    </row>
    <row r="37" customFormat="false" ht="370.85" hidden="false" customHeight="false" outlineLevel="0" collapsed="false">
      <c r="A37" s="6" t="s">
        <v>195</v>
      </c>
      <c r="B37" s="6" t="s">
        <v>196</v>
      </c>
      <c r="C37" s="6" t="n">
        <v>30</v>
      </c>
      <c r="D37" s="6" t="s">
        <v>57</v>
      </c>
      <c r="E37" s="6" t="n">
        <v>30</v>
      </c>
      <c r="F37" s="6" t="s">
        <v>714</v>
      </c>
      <c r="G37" s="6"/>
      <c r="H37" s="6"/>
      <c r="I37" s="6" t="s">
        <v>1509</v>
      </c>
      <c r="J37" s="6" t="s">
        <v>1510</v>
      </c>
      <c r="K37" s="6" t="s">
        <v>1511</v>
      </c>
      <c r="L37" s="6" t="n">
        <v>12</v>
      </c>
      <c r="M37" s="6" t="s">
        <v>1512</v>
      </c>
      <c r="N37" s="6" t="s">
        <v>1513</v>
      </c>
      <c r="O37" s="6" t="s">
        <v>1514</v>
      </c>
      <c r="P37" s="6" t="s">
        <v>1511</v>
      </c>
      <c r="Q37" s="6" t="s">
        <v>197</v>
      </c>
      <c r="R37" s="6" t="s">
        <v>52</v>
      </c>
      <c r="S37" s="6" t="s">
        <v>1515</v>
      </c>
      <c r="T37" s="6" t="s">
        <v>1516</v>
      </c>
      <c r="U37" s="6" t="s">
        <v>1517</v>
      </c>
      <c r="V37" s="6" t="s">
        <v>1518</v>
      </c>
      <c r="W37" s="6" t="s">
        <v>1519</v>
      </c>
      <c r="X37" s="6" t="s">
        <v>1511</v>
      </c>
      <c r="Y37" s="6" t="n">
        <v>45</v>
      </c>
      <c r="Z37" s="6" t="s">
        <v>57</v>
      </c>
      <c r="AA37" s="6" t="s">
        <v>1520</v>
      </c>
      <c r="AB37" s="6" t="s">
        <v>1521</v>
      </c>
      <c r="AC37" s="6" t="s">
        <v>1522</v>
      </c>
      <c r="AD37" s="6" t="s">
        <v>1523</v>
      </c>
      <c r="AE37" s="6" t="s">
        <v>1511</v>
      </c>
      <c r="AF37" s="6" t="s">
        <v>1524</v>
      </c>
      <c r="AG37" s="6" t="s">
        <v>1525</v>
      </c>
      <c r="AH37" s="6" t="s">
        <v>1526</v>
      </c>
      <c r="AI37" s="6" t="s">
        <v>1527</v>
      </c>
      <c r="AJ37" s="6" t="s">
        <v>1528</v>
      </c>
      <c r="AK37" s="6" t="s">
        <v>469</v>
      </c>
      <c r="AL37" s="6" t="s">
        <v>45</v>
      </c>
      <c r="AM37" s="6" t="s">
        <v>44</v>
      </c>
      <c r="AN37" s="6" t="s">
        <v>1529</v>
      </c>
    </row>
    <row r="38" customFormat="false" ht="471.6" hidden="false" customHeight="false" outlineLevel="0" collapsed="false">
      <c r="A38" s="6" t="s">
        <v>199</v>
      </c>
      <c r="B38" s="6" t="s">
        <v>200</v>
      </c>
      <c r="C38" s="6" t="n">
        <v>30</v>
      </c>
      <c r="D38" s="6" t="s">
        <v>40</v>
      </c>
      <c r="E38" s="6" t="n">
        <v>30</v>
      </c>
      <c r="F38" s="6" t="s">
        <v>714</v>
      </c>
      <c r="G38" s="6"/>
      <c r="H38" s="6" t="s">
        <v>1530</v>
      </c>
      <c r="I38" s="6" t="s">
        <v>1531</v>
      </c>
      <c r="J38" s="6" t="s">
        <v>1532</v>
      </c>
      <c r="K38" s="6" t="s">
        <v>1533</v>
      </c>
      <c r="L38" s="6" t="n">
        <v>12</v>
      </c>
      <c r="M38" s="6"/>
      <c r="N38" s="6" t="s">
        <v>1534</v>
      </c>
      <c r="O38" s="6" t="s">
        <v>1535</v>
      </c>
      <c r="P38" s="6" t="s">
        <v>1536</v>
      </c>
      <c r="Q38" s="6" t="s">
        <v>201</v>
      </c>
      <c r="R38" s="6" t="s">
        <v>52</v>
      </c>
      <c r="S38" s="6"/>
      <c r="T38" s="6" t="s">
        <v>1537</v>
      </c>
      <c r="U38" s="6" t="s">
        <v>1538</v>
      </c>
      <c r="V38" s="6" t="s">
        <v>1539</v>
      </c>
      <c r="W38" s="6" t="s">
        <v>1540</v>
      </c>
      <c r="X38" s="6" t="s">
        <v>1541</v>
      </c>
      <c r="Y38" s="6" t="n">
        <v>30</v>
      </c>
      <c r="Z38" s="6" t="s">
        <v>40</v>
      </c>
      <c r="AA38" s="6" t="s">
        <v>1542</v>
      </c>
      <c r="AB38" s="6" t="s">
        <v>1543</v>
      </c>
      <c r="AC38" s="6"/>
      <c r="AD38" s="6" t="s">
        <v>1544</v>
      </c>
      <c r="AE38" s="6" t="s">
        <v>1545</v>
      </c>
      <c r="AF38" s="6" t="s">
        <v>1546</v>
      </c>
      <c r="AG38" s="6" t="s">
        <v>1547</v>
      </c>
      <c r="AH38" s="6" t="s">
        <v>1548</v>
      </c>
      <c r="AI38" s="6" t="s">
        <v>1549</v>
      </c>
      <c r="AJ38" s="6" t="s">
        <v>1550</v>
      </c>
      <c r="AK38" s="6" t="s">
        <v>267</v>
      </c>
      <c r="AL38" s="6" t="s">
        <v>45</v>
      </c>
      <c r="AM38" s="6" t="s">
        <v>44</v>
      </c>
      <c r="AN38" s="6" t="s">
        <v>1551</v>
      </c>
    </row>
    <row r="39" customFormat="false" ht="337.3" hidden="false" customHeight="false" outlineLevel="0" collapsed="false">
      <c r="A39" s="6" t="s">
        <v>203</v>
      </c>
      <c r="B39" s="6" t="s">
        <v>204</v>
      </c>
      <c r="C39" s="6" t="n">
        <v>30</v>
      </c>
      <c r="D39" s="6" t="s">
        <v>40</v>
      </c>
      <c r="E39" s="6" t="n">
        <v>30</v>
      </c>
      <c r="F39" s="6" t="s">
        <v>714</v>
      </c>
      <c r="G39" s="6"/>
      <c r="H39" s="6" t="s">
        <v>1552</v>
      </c>
      <c r="I39" s="6" t="s">
        <v>1553</v>
      </c>
      <c r="J39" s="6" t="s">
        <v>1554</v>
      </c>
      <c r="K39" s="6" t="s">
        <v>1555</v>
      </c>
      <c r="L39" s="6" t="n">
        <v>9</v>
      </c>
      <c r="M39" s="6" t="s">
        <v>1556</v>
      </c>
      <c r="N39" s="6" t="s">
        <v>1557</v>
      </c>
      <c r="O39" s="6" t="s">
        <v>1558</v>
      </c>
      <c r="P39" s="6" t="s">
        <v>1559</v>
      </c>
      <c r="Q39" s="6" t="s">
        <v>205</v>
      </c>
      <c r="R39" s="6" t="s">
        <v>52</v>
      </c>
      <c r="S39" s="6" t="s">
        <v>1560</v>
      </c>
      <c r="T39" s="6" t="s">
        <v>1561</v>
      </c>
      <c r="U39" s="6" t="s">
        <v>1562</v>
      </c>
      <c r="V39" s="6" t="s">
        <v>1563</v>
      </c>
      <c r="W39" s="6" t="s">
        <v>1564</v>
      </c>
      <c r="X39" s="6" t="s">
        <v>1565</v>
      </c>
      <c r="Y39" s="6" t="n">
        <v>60</v>
      </c>
      <c r="Z39" s="6" t="s">
        <v>40</v>
      </c>
      <c r="AA39" s="6" t="s">
        <v>1566</v>
      </c>
      <c r="AB39" s="6" t="s">
        <v>1567</v>
      </c>
      <c r="AC39" s="6" t="s">
        <v>1568</v>
      </c>
      <c r="AD39" s="6" t="s">
        <v>1569</v>
      </c>
      <c r="AE39" s="6" t="s">
        <v>1570</v>
      </c>
      <c r="AF39" s="6" t="s">
        <v>1571</v>
      </c>
      <c r="AG39" s="6" t="s">
        <v>1572</v>
      </c>
      <c r="AH39" s="6" t="s">
        <v>1573</v>
      </c>
      <c r="AI39" s="6" t="s">
        <v>1574</v>
      </c>
      <c r="AJ39" s="6" t="s">
        <v>1575</v>
      </c>
      <c r="AK39" s="6" t="s">
        <v>267</v>
      </c>
      <c r="AL39" s="6" t="s">
        <v>45</v>
      </c>
      <c r="AM39" s="6" t="s">
        <v>44</v>
      </c>
      <c r="AN39" s="6" t="s">
        <v>1576</v>
      </c>
    </row>
    <row r="40" customFormat="false" ht="773.85" hidden="false" customHeight="false" outlineLevel="0" collapsed="false">
      <c r="A40" s="6" t="s">
        <v>207</v>
      </c>
      <c r="B40" s="6" t="s">
        <v>208</v>
      </c>
      <c r="C40" s="6" t="n">
        <v>30</v>
      </c>
      <c r="D40" s="6" t="s">
        <v>40</v>
      </c>
      <c r="E40" s="6" t="n">
        <v>30</v>
      </c>
      <c r="F40" s="6" t="s">
        <v>714</v>
      </c>
      <c r="G40" s="6"/>
      <c r="H40" s="6" t="s">
        <v>1577</v>
      </c>
      <c r="I40" s="6"/>
      <c r="J40" s="6" t="s">
        <v>1578</v>
      </c>
      <c r="K40" s="6" t="s">
        <v>1579</v>
      </c>
      <c r="L40" s="6" t="n">
        <v>12</v>
      </c>
      <c r="M40" s="6" t="s">
        <v>1580</v>
      </c>
      <c r="N40" s="6" t="s">
        <v>1581</v>
      </c>
      <c r="O40" s="6" t="s">
        <v>1582</v>
      </c>
      <c r="P40" s="6" t="s">
        <v>1583</v>
      </c>
      <c r="Q40" s="6" t="s">
        <v>209</v>
      </c>
      <c r="R40" s="6" t="s">
        <v>80</v>
      </c>
      <c r="S40" s="6" t="s">
        <v>1584</v>
      </c>
      <c r="T40" s="6" t="s">
        <v>1252</v>
      </c>
      <c r="U40" s="6" t="s">
        <v>1585</v>
      </c>
      <c r="V40" s="6" t="s">
        <v>1586</v>
      </c>
      <c r="W40" s="6" t="s">
        <v>1587</v>
      </c>
      <c r="X40" s="6" t="s">
        <v>1588</v>
      </c>
      <c r="Y40" s="6" t="n">
        <v>30</v>
      </c>
      <c r="Z40" s="6" t="s">
        <v>40</v>
      </c>
      <c r="AA40" s="6" t="s">
        <v>1589</v>
      </c>
      <c r="AB40" s="6" t="s">
        <v>1590</v>
      </c>
      <c r="AC40" s="6" t="s">
        <v>1591</v>
      </c>
      <c r="AD40" s="6" t="s">
        <v>1592</v>
      </c>
      <c r="AE40" s="6" t="s">
        <v>1593</v>
      </c>
      <c r="AF40" s="6" t="s">
        <v>1594</v>
      </c>
      <c r="AG40" s="6" t="s">
        <v>1595</v>
      </c>
      <c r="AH40" s="6" t="s">
        <v>1596</v>
      </c>
      <c r="AI40" s="6" t="s">
        <v>1597</v>
      </c>
      <c r="AJ40" s="6" t="s">
        <v>1598</v>
      </c>
      <c r="AK40" s="6" t="s">
        <v>267</v>
      </c>
      <c r="AL40" s="6" t="s">
        <v>45</v>
      </c>
      <c r="AM40" s="6" t="s">
        <v>44</v>
      </c>
      <c r="AN40" s="6" t="s">
        <v>1599</v>
      </c>
    </row>
    <row r="41" customFormat="false" ht="337.3" hidden="false" customHeight="false" outlineLevel="0" collapsed="false">
      <c r="A41" s="6" t="s">
        <v>212</v>
      </c>
      <c r="B41" s="6" t="s">
        <v>213</v>
      </c>
      <c r="C41" s="6" t="n">
        <v>30</v>
      </c>
      <c r="D41" s="6" t="s">
        <v>40</v>
      </c>
      <c r="E41" s="6" t="n">
        <v>30</v>
      </c>
      <c r="F41" s="6" t="s">
        <v>714</v>
      </c>
      <c r="G41" s="6"/>
      <c r="H41" s="6"/>
      <c r="I41" s="6" t="s">
        <v>1600</v>
      </c>
      <c r="J41" s="6" t="s">
        <v>1601</v>
      </c>
      <c r="K41" s="6" t="s">
        <v>1602</v>
      </c>
      <c r="L41" s="6" t="n">
        <v>12</v>
      </c>
      <c r="M41" s="6" t="s">
        <v>1603</v>
      </c>
      <c r="N41" s="6" t="s">
        <v>1604</v>
      </c>
      <c r="O41" s="6" t="s">
        <v>1605</v>
      </c>
      <c r="P41" s="6" t="s">
        <v>1606</v>
      </c>
      <c r="Q41" s="6" t="s">
        <v>214</v>
      </c>
      <c r="R41" s="6" t="s">
        <v>52</v>
      </c>
      <c r="S41" s="6" t="s">
        <v>1607</v>
      </c>
      <c r="T41" s="6" t="s">
        <v>1608</v>
      </c>
      <c r="U41" s="6" t="s">
        <v>1609</v>
      </c>
      <c r="V41" s="6" t="s">
        <v>1610</v>
      </c>
      <c r="W41" s="6" t="s">
        <v>1611</v>
      </c>
      <c r="X41" s="6" t="s">
        <v>1612</v>
      </c>
      <c r="Y41" s="6"/>
      <c r="Z41" s="6" t="s">
        <v>57</v>
      </c>
      <c r="AA41" s="6" t="s">
        <v>1613</v>
      </c>
      <c r="AB41" s="6" t="s">
        <v>1614</v>
      </c>
      <c r="AC41" s="6" t="s">
        <v>1615</v>
      </c>
      <c r="AD41" s="6" t="s">
        <v>1616</v>
      </c>
      <c r="AE41" s="6" t="s">
        <v>1617</v>
      </c>
      <c r="AF41" s="6" t="s">
        <v>1618</v>
      </c>
      <c r="AG41" s="6" t="s">
        <v>1619</v>
      </c>
      <c r="AH41" s="6" t="s">
        <v>1620</v>
      </c>
      <c r="AI41" s="6" t="s">
        <v>1621</v>
      </c>
      <c r="AJ41" s="6" t="s">
        <v>592</v>
      </c>
      <c r="AK41" s="6" t="s">
        <v>267</v>
      </c>
      <c r="AL41" s="6" t="s">
        <v>45</v>
      </c>
      <c r="AM41" s="6" t="s">
        <v>44</v>
      </c>
      <c r="AN41" s="6" t="s">
        <v>1622</v>
      </c>
    </row>
    <row r="42" customFormat="false" ht="426.85" hidden="false" customHeight="false" outlineLevel="0" collapsed="false">
      <c r="A42" s="6" t="s">
        <v>216</v>
      </c>
      <c r="B42" s="6" t="s">
        <v>217</v>
      </c>
      <c r="C42" s="6" t="n">
        <v>30</v>
      </c>
      <c r="D42" s="6" t="s">
        <v>57</v>
      </c>
      <c r="E42" s="6" t="n">
        <v>30</v>
      </c>
      <c r="F42" s="6" t="s">
        <v>714</v>
      </c>
      <c r="G42" s="6"/>
      <c r="H42" s="6" t="s">
        <v>1623</v>
      </c>
      <c r="I42" s="6" t="s">
        <v>1624</v>
      </c>
      <c r="J42" s="6" t="s">
        <v>1625</v>
      </c>
      <c r="K42" s="6" t="s">
        <v>601</v>
      </c>
      <c r="L42" s="6" t="n">
        <v>12</v>
      </c>
      <c r="M42" s="6" t="s">
        <v>1626</v>
      </c>
      <c r="N42" s="6" t="s">
        <v>1627</v>
      </c>
      <c r="O42" s="6" t="s">
        <v>1628</v>
      </c>
      <c r="P42" s="6" t="s">
        <v>1629</v>
      </c>
      <c r="Q42" s="6"/>
      <c r="R42" s="6" t="s">
        <v>42</v>
      </c>
      <c r="S42" s="6"/>
      <c r="T42" s="6"/>
      <c r="U42" s="6" t="s">
        <v>1630</v>
      </c>
      <c r="V42" s="6"/>
      <c r="W42" s="6" t="s">
        <v>1631</v>
      </c>
      <c r="X42" s="6" t="s">
        <v>597</v>
      </c>
      <c r="Y42" s="6"/>
      <c r="Z42" s="6" t="s">
        <v>57</v>
      </c>
      <c r="AA42" s="6"/>
      <c r="AB42" s="6"/>
      <c r="AC42" s="6"/>
      <c r="AD42" s="6"/>
      <c r="AE42" s="6"/>
      <c r="AF42" s="6" t="s">
        <v>1632</v>
      </c>
      <c r="AG42" s="6" t="s">
        <v>1633</v>
      </c>
      <c r="AH42" s="6" t="s">
        <v>1634</v>
      </c>
      <c r="AI42" s="6" t="s">
        <v>1635</v>
      </c>
      <c r="AJ42" s="6" t="s">
        <v>1636</v>
      </c>
      <c r="AK42" s="6" t="s">
        <v>267</v>
      </c>
      <c r="AL42" s="6" t="s">
        <v>45</v>
      </c>
      <c r="AM42" s="6" t="s">
        <v>44</v>
      </c>
      <c r="AN42" s="6" t="s">
        <v>1637</v>
      </c>
    </row>
    <row r="43" customFormat="false" ht="326.1" hidden="false" customHeight="false" outlineLevel="0" collapsed="false">
      <c r="A43" s="6" t="s">
        <v>218</v>
      </c>
      <c r="B43" s="6" t="s">
        <v>219</v>
      </c>
      <c r="C43" s="6"/>
      <c r="D43" s="6" t="s">
        <v>57</v>
      </c>
      <c r="E43" s="6"/>
      <c r="F43" s="6"/>
      <c r="G43" s="6"/>
      <c r="H43" s="6"/>
      <c r="I43" s="6"/>
      <c r="J43" s="6"/>
      <c r="K43" s="6"/>
      <c r="L43" s="6"/>
      <c r="M43" s="6"/>
      <c r="N43" s="6"/>
      <c r="O43" s="6"/>
      <c r="P43" s="6"/>
      <c r="Q43" s="6"/>
      <c r="R43" s="6" t="s">
        <v>42</v>
      </c>
      <c r="S43" s="6"/>
      <c r="T43" s="6"/>
      <c r="U43" s="6" t="s">
        <v>1638</v>
      </c>
      <c r="V43" s="6"/>
      <c r="W43" s="6" t="s">
        <v>604</v>
      </c>
      <c r="X43" s="6" t="s">
        <v>1639</v>
      </c>
      <c r="Y43" s="6"/>
      <c r="Z43" s="6" t="s">
        <v>57</v>
      </c>
      <c r="AA43" s="6" t="s">
        <v>1640</v>
      </c>
      <c r="AB43" s="6" t="s">
        <v>1641</v>
      </c>
      <c r="AC43" s="6" t="s">
        <v>1642</v>
      </c>
      <c r="AD43" s="6" t="s">
        <v>1643</v>
      </c>
      <c r="AE43" s="6" t="s">
        <v>605</v>
      </c>
      <c r="AF43" s="6" t="s">
        <v>1644</v>
      </c>
      <c r="AG43" s="6" t="s">
        <v>1645</v>
      </c>
      <c r="AH43" s="6" t="s">
        <v>1646</v>
      </c>
      <c r="AI43" s="6" t="s">
        <v>1647</v>
      </c>
      <c r="AJ43" s="6" t="s">
        <v>1648</v>
      </c>
      <c r="AK43" s="6" t="s">
        <v>289</v>
      </c>
      <c r="AL43" s="6" t="s">
        <v>59</v>
      </c>
      <c r="AM43" s="6" t="s">
        <v>44</v>
      </c>
      <c r="AN43" s="6" t="s">
        <v>1649</v>
      </c>
    </row>
    <row r="44" customFormat="false" ht="258.95" hidden="false" customHeight="false" outlineLevel="0" collapsed="false">
      <c r="A44" s="6" t="s">
        <v>220</v>
      </c>
      <c r="B44" s="6" t="s">
        <v>221</v>
      </c>
      <c r="C44" s="6" t="n">
        <v>30</v>
      </c>
      <c r="D44" s="6" t="s">
        <v>40</v>
      </c>
      <c r="E44" s="6" t="n">
        <v>30</v>
      </c>
      <c r="F44" s="6" t="s">
        <v>714</v>
      </c>
      <c r="G44" s="6"/>
      <c r="H44" s="6"/>
      <c r="I44" s="6" t="s">
        <v>1650</v>
      </c>
      <c r="J44" s="6" t="s">
        <v>1651</v>
      </c>
      <c r="K44" s="6" t="s">
        <v>1652</v>
      </c>
      <c r="L44" s="6" t="n">
        <v>12</v>
      </c>
      <c r="M44" s="6" t="s">
        <v>1653</v>
      </c>
      <c r="N44" s="6" t="s">
        <v>1654</v>
      </c>
      <c r="O44" s="6" t="s">
        <v>1655</v>
      </c>
      <c r="P44" s="6" t="s">
        <v>1656</v>
      </c>
      <c r="Q44" s="6" t="s">
        <v>222</v>
      </c>
      <c r="R44" s="6" t="s">
        <v>223</v>
      </c>
      <c r="S44" s="6" t="s">
        <v>1657</v>
      </c>
      <c r="T44" s="6" t="s">
        <v>1034</v>
      </c>
      <c r="U44" s="6" t="s">
        <v>1658</v>
      </c>
      <c r="V44" s="6" t="s">
        <v>1659</v>
      </c>
      <c r="W44" s="6" t="s">
        <v>1660</v>
      </c>
      <c r="X44" s="6" t="s">
        <v>1661</v>
      </c>
      <c r="Y44" s="6" t="n">
        <v>60</v>
      </c>
      <c r="Z44" s="6" t="s">
        <v>224</v>
      </c>
      <c r="AA44" s="6" t="s">
        <v>1662</v>
      </c>
      <c r="AB44" s="6" t="s">
        <v>1663</v>
      </c>
      <c r="AC44" s="6" t="s">
        <v>1664</v>
      </c>
      <c r="AD44" s="6" t="s">
        <v>1665</v>
      </c>
      <c r="AE44" s="6" t="s">
        <v>1666</v>
      </c>
      <c r="AF44" s="6" t="s">
        <v>1667</v>
      </c>
      <c r="AG44" s="6" t="s">
        <v>1668</v>
      </c>
      <c r="AH44" s="6" t="s">
        <v>1669</v>
      </c>
      <c r="AI44" s="6" t="s">
        <v>1670</v>
      </c>
      <c r="AJ44" s="6" t="s">
        <v>1671</v>
      </c>
      <c r="AK44" s="6" t="s">
        <v>267</v>
      </c>
      <c r="AL44" s="6" t="s">
        <v>45</v>
      </c>
      <c r="AM44" s="6" t="s">
        <v>44</v>
      </c>
      <c r="AN44" s="6" t="s">
        <v>1672</v>
      </c>
    </row>
    <row r="45" customFormat="false" ht="505.2" hidden="false" customHeight="false" outlineLevel="0" collapsed="false">
      <c r="A45" s="6" t="s">
        <v>226</v>
      </c>
      <c r="B45" s="6" t="s">
        <v>227</v>
      </c>
      <c r="C45" s="6" t="n">
        <v>30</v>
      </c>
      <c r="D45" s="6" t="s">
        <v>40</v>
      </c>
      <c r="E45" s="6" t="n">
        <v>30</v>
      </c>
      <c r="F45" s="6" t="s">
        <v>714</v>
      </c>
      <c r="G45" s="6"/>
      <c r="H45" s="6"/>
      <c r="I45" s="6" t="s">
        <v>1673</v>
      </c>
      <c r="J45" s="6" t="s">
        <v>1674</v>
      </c>
      <c r="K45" s="6" t="s">
        <v>1675</v>
      </c>
      <c r="L45" s="6" t="n">
        <v>6</v>
      </c>
      <c r="M45" s="6" t="s">
        <v>1676</v>
      </c>
      <c r="N45" s="6" t="s">
        <v>1677</v>
      </c>
      <c r="O45" s="6" t="s">
        <v>1678</v>
      </c>
      <c r="P45" s="6" t="s">
        <v>1679</v>
      </c>
      <c r="Q45" s="6" t="s">
        <v>228</v>
      </c>
      <c r="R45" s="6" t="s">
        <v>52</v>
      </c>
      <c r="S45" s="6" t="s">
        <v>1680</v>
      </c>
      <c r="T45" s="6" t="s">
        <v>1681</v>
      </c>
      <c r="U45" s="6" t="s">
        <v>1682</v>
      </c>
      <c r="V45" s="6" t="s">
        <v>1683</v>
      </c>
      <c r="W45" s="6" t="s">
        <v>1684</v>
      </c>
      <c r="X45" s="6" t="s">
        <v>1685</v>
      </c>
      <c r="Y45" s="6" t="n">
        <v>30</v>
      </c>
      <c r="Z45" s="6" t="s">
        <v>40</v>
      </c>
      <c r="AA45" s="6" t="s">
        <v>1686</v>
      </c>
      <c r="AB45" s="6" t="s">
        <v>1687</v>
      </c>
      <c r="AC45" s="6" t="s">
        <v>1688</v>
      </c>
      <c r="AD45" s="6" t="s">
        <v>1689</v>
      </c>
      <c r="AE45" s="6" t="s">
        <v>1690</v>
      </c>
      <c r="AF45" s="6" t="s">
        <v>1691</v>
      </c>
      <c r="AG45" s="6" t="s">
        <v>1692</v>
      </c>
      <c r="AH45" s="6" t="s">
        <v>1693</v>
      </c>
      <c r="AI45" s="6" t="s">
        <v>1694</v>
      </c>
      <c r="AJ45" s="6" t="s">
        <v>1695</v>
      </c>
      <c r="AK45" s="6" t="s">
        <v>267</v>
      </c>
      <c r="AL45" s="6" t="s">
        <v>45</v>
      </c>
      <c r="AM45" s="6" t="s">
        <v>44</v>
      </c>
      <c r="AN45" s="6" t="s">
        <v>1696</v>
      </c>
    </row>
    <row r="46" customFormat="false" ht="505.2" hidden="false" customHeight="false" outlineLevel="0" collapsed="false">
      <c r="A46" s="6" t="s">
        <v>230</v>
      </c>
      <c r="B46" s="6" t="s">
        <v>231</v>
      </c>
      <c r="C46" s="6" t="n">
        <v>30</v>
      </c>
      <c r="D46" s="6" t="s">
        <v>57</v>
      </c>
      <c r="E46" s="6" t="n">
        <v>30</v>
      </c>
      <c r="F46" s="6" t="s">
        <v>907</v>
      </c>
      <c r="G46" s="6"/>
      <c r="H46" s="6"/>
      <c r="I46" s="6" t="s">
        <v>1697</v>
      </c>
      <c r="J46" s="6" t="s">
        <v>1698</v>
      </c>
      <c r="K46" s="6" t="s">
        <v>1699</v>
      </c>
      <c r="L46" s="6" t="n">
        <v>6</v>
      </c>
      <c r="M46" s="6" t="s">
        <v>1700</v>
      </c>
      <c r="N46" s="6" t="s">
        <v>1701</v>
      </c>
      <c r="O46" s="6" t="s">
        <v>1702</v>
      </c>
      <c r="P46" s="6" t="s">
        <v>1703</v>
      </c>
      <c r="Q46" s="6"/>
      <c r="R46" s="6" t="s">
        <v>232</v>
      </c>
      <c r="S46" s="6"/>
      <c r="T46" s="6" t="s">
        <v>1704</v>
      </c>
      <c r="U46" s="6" t="s">
        <v>1705</v>
      </c>
      <c r="V46" s="6"/>
      <c r="W46" s="6" t="s">
        <v>1706</v>
      </c>
      <c r="X46" s="6" t="s">
        <v>1707</v>
      </c>
      <c r="Y46" s="6"/>
      <c r="Z46" s="6" t="s">
        <v>57</v>
      </c>
      <c r="AA46" s="6"/>
      <c r="AB46" s="6"/>
      <c r="AC46" s="6" t="s">
        <v>1708</v>
      </c>
      <c r="AD46" s="6" t="s">
        <v>1709</v>
      </c>
      <c r="AE46" s="6" t="s">
        <v>1710</v>
      </c>
      <c r="AF46" s="6" t="s">
        <v>1711</v>
      </c>
      <c r="AG46" s="6" t="s">
        <v>1712</v>
      </c>
      <c r="AH46" s="6" t="s">
        <v>1713</v>
      </c>
      <c r="AI46" s="6" t="s">
        <v>1714</v>
      </c>
      <c r="AJ46" s="6" t="s">
        <v>636</v>
      </c>
      <c r="AK46" s="6" t="s">
        <v>267</v>
      </c>
      <c r="AL46" s="6" t="s">
        <v>45</v>
      </c>
      <c r="AM46" s="6" t="s">
        <v>44</v>
      </c>
      <c r="AN46" s="6" t="s">
        <v>1715</v>
      </c>
    </row>
    <row r="47" customFormat="false" ht="337.3" hidden="false" customHeight="false" outlineLevel="0" collapsed="false">
      <c r="A47" s="6" t="s">
        <v>233</v>
      </c>
      <c r="B47" s="6" t="s">
        <v>234</v>
      </c>
      <c r="C47" s="6" t="n">
        <v>45</v>
      </c>
      <c r="D47" s="6" t="s">
        <v>40</v>
      </c>
      <c r="E47" s="6" t="n">
        <v>45</v>
      </c>
      <c r="F47" s="6" t="s">
        <v>714</v>
      </c>
      <c r="G47" s="6"/>
      <c r="H47" s="6"/>
      <c r="I47" s="6" t="s">
        <v>1716</v>
      </c>
      <c r="J47" s="6" t="s">
        <v>1717</v>
      </c>
      <c r="K47" s="6" t="s">
        <v>1718</v>
      </c>
      <c r="L47" s="6" t="n">
        <v>12</v>
      </c>
      <c r="M47" s="6" t="s">
        <v>1719</v>
      </c>
      <c r="N47" s="6" t="s">
        <v>1720</v>
      </c>
      <c r="O47" s="6" t="s">
        <v>1721</v>
      </c>
      <c r="P47" s="6" t="s">
        <v>1722</v>
      </c>
      <c r="Q47" s="6"/>
      <c r="R47" s="6" t="s">
        <v>42</v>
      </c>
      <c r="S47" s="6"/>
      <c r="T47" s="6"/>
      <c r="U47" s="6" t="s">
        <v>1723</v>
      </c>
      <c r="V47" s="6"/>
      <c r="W47" s="6" t="s">
        <v>645</v>
      </c>
      <c r="X47" s="6" t="s">
        <v>1724</v>
      </c>
      <c r="Y47" s="6"/>
      <c r="Z47" s="6" t="s">
        <v>57</v>
      </c>
      <c r="AA47" s="6" t="s">
        <v>1725</v>
      </c>
      <c r="AB47" s="6" t="s">
        <v>1726</v>
      </c>
      <c r="AC47" s="6" t="s">
        <v>1727</v>
      </c>
      <c r="AD47" s="6" t="s">
        <v>1728</v>
      </c>
      <c r="AE47" s="6" t="s">
        <v>1729</v>
      </c>
      <c r="AF47" s="6" t="s">
        <v>1730</v>
      </c>
      <c r="AG47" s="6" t="s">
        <v>1731</v>
      </c>
      <c r="AH47" s="6" t="s">
        <v>1732</v>
      </c>
      <c r="AI47" s="6" t="s">
        <v>1733</v>
      </c>
      <c r="AJ47" s="6" t="s">
        <v>1734</v>
      </c>
      <c r="AK47" s="6" t="s">
        <v>267</v>
      </c>
      <c r="AL47" s="6" t="s">
        <v>45</v>
      </c>
      <c r="AM47" s="6" t="s">
        <v>44</v>
      </c>
      <c r="AN47" s="6" t="s">
        <v>1735</v>
      </c>
    </row>
    <row r="48" customFormat="false" ht="314.9" hidden="false" customHeight="false" outlineLevel="0" collapsed="false">
      <c r="A48" s="6" t="s">
        <v>236</v>
      </c>
      <c r="B48" s="6" t="s">
        <v>237</v>
      </c>
      <c r="C48" s="6" t="n">
        <v>30</v>
      </c>
      <c r="D48" s="6" t="s">
        <v>40</v>
      </c>
      <c r="E48" s="6" t="n">
        <v>30</v>
      </c>
      <c r="F48" s="6" t="s">
        <v>907</v>
      </c>
      <c r="G48" s="6" t="s">
        <v>1736</v>
      </c>
      <c r="H48" s="6"/>
      <c r="I48" s="6" t="s">
        <v>1737</v>
      </c>
      <c r="J48" s="6" t="s">
        <v>1738</v>
      </c>
      <c r="K48" s="6" t="s">
        <v>1739</v>
      </c>
      <c r="L48" s="6" t="n">
        <v>9</v>
      </c>
      <c r="M48" s="6" t="s">
        <v>1740</v>
      </c>
      <c r="N48" s="6" t="s">
        <v>1741</v>
      </c>
      <c r="O48" s="6" t="s">
        <v>1742</v>
      </c>
      <c r="P48" s="6" t="s">
        <v>1743</v>
      </c>
      <c r="Q48" s="6" t="s">
        <v>238</v>
      </c>
      <c r="R48" s="6" t="s">
        <v>42</v>
      </c>
      <c r="S48" s="6"/>
      <c r="T48" s="6" t="s">
        <v>1744</v>
      </c>
      <c r="U48" s="6" t="s">
        <v>1745</v>
      </c>
      <c r="V48" s="6"/>
      <c r="W48" s="6" t="s">
        <v>1746</v>
      </c>
      <c r="X48" s="6" t="s">
        <v>1747</v>
      </c>
      <c r="Y48" s="6"/>
      <c r="Z48" s="6" t="s">
        <v>57</v>
      </c>
      <c r="AA48" s="6" t="s">
        <v>1748</v>
      </c>
      <c r="AB48" s="6" t="s">
        <v>1749</v>
      </c>
      <c r="AC48" s="6" t="s">
        <v>1750</v>
      </c>
      <c r="AD48" s="6" t="s">
        <v>1751</v>
      </c>
      <c r="AE48" s="6" t="s">
        <v>649</v>
      </c>
      <c r="AF48" s="6" t="s">
        <v>1752</v>
      </c>
      <c r="AG48" s="6" t="s">
        <v>1753</v>
      </c>
      <c r="AH48" s="6" t="s">
        <v>1754</v>
      </c>
      <c r="AI48" s="6" t="s">
        <v>1755</v>
      </c>
      <c r="AJ48" s="6" t="s">
        <v>1756</v>
      </c>
      <c r="AK48" s="6" t="s">
        <v>267</v>
      </c>
      <c r="AL48" s="6" t="s">
        <v>45</v>
      </c>
      <c r="AM48" s="6" t="s">
        <v>44</v>
      </c>
      <c r="AN48" s="6" t="s">
        <v>1757</v>
      </c>
    </row>
    <row r="49" customFormat="false" ht="326.1" hidden="false" customHeight="false" outlineLevel="0" collapsed="false">
      <c r="A49" s="6" t="s">
        <v>240</v>
      </c>
      <c r="B49" s="6" t="s">
        <v>241</v>
      </c>
      <c r="C49" s="6" t="n">
        <v>30</v>
      </c>
      <c r="D49" s="6" t="s">
        <v>40</v>
      </c>
      <c r="E49" s="6" t="n">
        <v>30</v>
      </c>
      <c r="F49" s="6" t="s">
        <v>714</v>
      </c>
      <c r="G49" s="6"/>
      <c r="H49" s="6"/>
      <c r="I49" s="6" t="s">
        <v>1758</v>
      </c>
      <c r="J49" s="6" t="s">
        <v>1759</v>
      </c>
      <c r="K49" s="6" t="s">
        <v>1760</v>
      </c>
      <c r="L49" s="6" t="n">
        <v>12</v>
      </c>
      <c r="M49" s="6" t="s">
        <v>1761</v>
      </c>
      <c r="N49" s="6" t="s">
        <v>1762</v>
      </c>
      <c r="O49" s="6" t="s">
        <v>1763</v>
      </c>
      <c r="P49" s="6" t="s">
        <v>1760</v>
      </c>
      <c r="Q49" s="6"/>
      <c r="R49" s="6" t="s">
        <v>243</v>
      </c>
      <c r="S49" s="6" t="s">
        <v>1764</v>
      </c>
      <c r="T49" s="6" t="s">
        <v>1765</v>
      </c>
      <c r="U49" s="6" t="s">
        <v>1766</v>
      </c>
      <c r="V49" s="6" t="s">
        <v>1767</v>
      </c>
      <c r="W49" s="6" t="s">
        <v>1768</v>
      </c>
      <c r="X49" s="6" t="s">
        <v>1769</v>
      </c>
      <c r="Y49" s="6" t="n">
        <v>30</v>
      </c>
      <c r="Z49" s="6" t="s">
        <v>57</v>
      </c>
      <c r="AA49" s="6" t="s">
        <v>1770</v>
      </c>
      <c r="AB49" s="6" t="s">
        <v>1771</v>
      </c>
      <c r="AC49" s="6" t="s">
        <v>1772</v>
      </c>
      <c r="AD49" s="6" t="s">
        <v>1773</v>
      </c>
      <c r="AE49" s="6" t="s">
        <v>1774</v>
      </c>
      <c r="AF49" s="6" t="s">
        <v>1775</v>
      </c>
      <c r="AG49" s="6" t="s">
        <v>1776</v>
      </c>
      <c r="AH49" s="6" t="s">
        <v>1777</v>
      </c>
      <c r="AI49" s="6" t="s">
        <v>1778</v>
      </c>
      <c r="AJ49" s="6" t="s">
        <v>1779</v>
      </c>
      <c r="AK49" s="6" t="s">
        <v>267</v>
      </c>
      <c r="AL49" s="6" t="s">
        <v>45</v>
      </c>
      <c r="AM49" s="6" t="s">
        <v>44</v>
      </c>
      <c r="AN49" s="6" t="s">
        <v>1780</v>
      </c>
    </row>
    <row r="50" customFormat="false" ht="538.8" hidden="false" customHeight="false" outlineLevel="0" collapsed="false">
      <c r="A50" s="6" t="s">
        <v>245</v>
      </c>
      <c r="B50" s="6" t="s">
        <v>246</v>
      </c>
      <c r="C50" s="6" t="n">
        <v>30</v>
      </c>
      <c r="D50" s="6" t="s">
        <v>57</v>
      </c>
      <c r="E50" s="6" t="n">
        <v>30</v>
      </c>
      <c r="F50" s="6" t="s">
        <v>714</v>
      </c>
      <c r="G50" s="6"/>
      <c r="H50" s="6" t="s">
        <v>1781</v>
      </c>
      <c r="I50" s="6" t="s">
        <v>1782</v>
      </c>
      <c r="J50" s="6" t="s">
        <v>1783</v>
      </c>
      <c r="K50" s="6" t="s">
        <v>1784</v>
      </c>
      <c r="L50" s="6" t="n">
        <v>12</v>
      </c>
      <c r="M50" s="6" t="s">
        <v>1785</v>
      </c>
      <c r="N50" s="6" t="s">
        <v>1786</v>
      </c>
      <c r="O50" s="6" t="s">
        <v>1787</v>
      </c>
      <c r="P50" s="6" t="s">
        <v>1788</v>
      </c>
      <c r="Q50" s="6" t="s">
        <v>247</v>
      </c>
      <c r="R50" s="6" t="s">
        <v>120</v>
      </c>
      <c r="S50" s="6" t="s">
        <v>1789</v>
      </c>
      <c r="T50" s="6" t="s">
        <v>940</v>
      </c>
      <c r="U50" s="6" t="s">
        <v>1790</v>
      </c>
      <c r="V50" s="6" t="s">
        <v>1791</v>
      </c>
      <c r="W50" s="6" t="s">
        <v>1792</v>
      </c>
      <c r="X50" s="6" t="s">
        <v>1793</v>
      </c>
      <c r="Y50" s="6" t="n">
        <v>30</v>
      </c>
      <c r="Z50" s="6" t="s">
        <v>40</v>
      </c>
      <c r="AA50" s="6" t="s">
        <v>1794</v>
      </c>
      <c r="AB50" s="6" t="s">
        <v>1795</v>
      </c>
      <c r="AC50" s="6" t="s">
        <v>1796</v>
      </c>
      <c r="AD50" s="6" t="s">
        <v>1797</v>
      </c>
      <c r="AE50" s="6" t="s">
        <v>1798</v>
      </c>
      <c r="AF50" s="6" t="s">
        <v>1799</v>
      </c>
      <c r="AG50" s="6"/>
      <c r="AH50" s="6" t="s">
        <v>1800</v>
      </c>
      <c r="AI50" s="6" t="s">
        <v>1801</v>
      </c>
      <c r="AJ50" s="6" t="s">
        <v>669</v>
      </c>
      <c r="AK50" s="6" t="s">
        <v>267</v>
      </c>
      <c r="AL50" s="6" t="s">
        <v>45</v>
      </c>
      <c r="AM50" s="6" t="s">
        <v>44</v>
      </c>
      <c r="AN50" s="6" t="s">
        <v>1802</v>
      </c>
    </row>
    <row r="51" customFormat="false" ht="482.8" hidden="false" customHeight="false" outlineLevel="0" collapsed="false">
      <c r="A51" s="6" t="s">
        <v>249</v>
      </c>
      <c r="B51" s="6" t="s">
        <v>250</v>
      </c>
      <c r="C51" s="6" t="n">
        <v>30</v>
      </c>
      <c r="D51" s="6" t="s">
        <v>40</v>
      </c>
      <c r="E51" s="6" t="n">
        <v>30</v>
      </c>
      <c r="F51" s="6" t="s">
        <v>714</v>
      </c>
      <c r="G51" s="6"/>
      <c r="H51" s="6" t="s">
        <v>1803</v>
      </c>
      <c r="I51" s="6" t="s">
        <v>1804</v>
      </c>
      <c r="J51" s="6" t="s">
        <v>1805</v>
      </c>
      <c r="K51" s="6" t="s">
        <v>1806</v>
      </c>
      <c r="L51" s="6" t="n">
        <v>12</v>
      </c>
      <c r="M51" s="6" t="s">
        <v>1807</v>
      </c>
      <c r="N51" s="6" t="s">
        <v>1808</v>
      </c>
      <c r="O51" s="6" t="s">
        <v>1809</v>
      </c>
      <c r="P51" s="6" t="s">
        <v>1806</v>
      </c>
      <c r="Q51" s="6" t="s">
        <v>251</v>
      </c>
      <c r="R51" s="6" t="s">
        <v>52</v>
      </c>
      <c r="S51" s="6" t="s">
        <v>1810</v>
      </c>
      <c r="T51" s="6" t="s">
        <v>1811</v>
      </c>
      <c r="U51" s="6" t="s">
        <v>1812</v>
      </c>
      <c r="V51" s="6" t="s">
        <v>1813</v>
      </c>
      <c r="W51" s="6" t="s">
        <v>1814</v>
      </c>
      <c r="X51" s="6" t="s">
        <v>1815</v>
      </c>
      <c r="Y51" s="6" t="n">
        <v>30</v>
      </c>
      <c r="Z51" s="6" t="s">
        <v>40</v>
      </c>
      <c r="AA51" s="6" t="s">
        <v>1816</v>
      </c>
      <c r="AB51" s="6" t="s">
        <v>1817</v>
      </c>
      <c r="AC51" s="6" t="s">
        <v>1818</v>
      </c>
      <c r="AD51" s="6" t="s">
        <v>1819</v>
      </c>
      <c r="AE51" s="6" t="s">
        <v>1820</v>
      </c>
      <c r="AF51" s="6" t="s">
        <v>1821</v>
      </c>
      <c r="AG51" s="6" t="s">
        <v>1822</v>
      </c>
      <c r="AH51" s="6" t="s">
        <v>1823</v>
      </c>
      <c r="AI51" s="6" t="s">
        <v>1824</v>
      </c>
      <c r="AJ51" s="6" t="s">
        <v>1825</v>
      </c>
      <c r="AK51" s="6" t="s">
        <v>267</v>
      </c>
      <c r="AL51" s="6" t="s">
        <v>45</v>
      </c>
      <c r="AM51" s="6" t="s">
        <v>44</v>
      </c>
      <c r="AN51" s="6" t="s">
        <v>1826</v>
      </c>
    </row>
  </sheetData>
  <autoFilter ref="A1:AN5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5"/>
    <col collapsed="false" customWidth="true" hidden="false" outlineLevel="0" max="3" min="3" style="0" width="24"/>
    <col collapsed="false" customWidth="true" hidden="false" outlineLevel="0" max="4" min="4" style="0" width="9"/>
    <col collapsed="false" customWidth="true" hidden="false" outlineLevel="0" max="5" min="5" style="0" width="10"/>
    <col collapsed="false" customWidth="true" hidden="false" outlineLevel="0" max="6" min="6" style="0" width="12"/>
    <col collapsed="false" customWidth="true" hidden="false" outlineLevel="0" max="7" min="7" style="0" width="20"/>
    <col collapsed="false" customWidth="true" hidden="false" outlineLevel="0" max="8" min="8" style="0" width="30"/>
    <col collapsed="false" customWidth="true" hidden="false" outlineLevel="0" max="9" min="9" style="0" width="50"/>
    <col collapsed="false" customWidth="true" hidden="false" outlineLevel="0" max="10" min="10" style="0" width="40"/>
    <col collapsed="false" customWidth="true" hidden="false" outlineLevel="0" max="11" min="11" style="0" width="22"/>
    <col collapsed="false" customWidth="true" hidden="false" outlineLevel="0" max="12" min="12" style="0" width="40"/>
  </cols>
  <sheetData>
    <row r="1" customFormat="false" ht="31.5" hidden="false" customHeight="true" outlineLevel="0" collapsed="false">
      <c r="A1" s="4" t="s">
        <v>16</v>
      </c>
      <c r="B1" s="4" t="s">
        <v>17</v>
      </c>
      <c r="C1" s="4" t="s">
        <v>1827</v>
      </c>
      <c r="D1" s="4" t="s">
        <v>1828</v>
      </c>
      <c r="E1" s="4" t="s">
        <v>1829</v>
      </c>
      <c r="F1" s="4" t="s">
        <v>1830</v>
      </c>
      <c r="G1" s="4" t="s">
        <v>1831</v>
      </c>
      <c r="H1" s="4" t="s">
        <v>1832</v>
      </c>
      <c r="I1" s="4" t="s">
        <v>700</v>
      </c>
      <c r="J1" s="4" t="s">
        <v>1833</v>
      </c>
      <c r="K1" s="4" t="s">
        <v>1834</v>
      </c>
      <c r="L1" s="4" t="s">
        <v>1835</v>
      </c>
    </row>
    <row r="2" customFormat="false" ht="102.2" hidden="false" customHeight="false" outlineLevel="0" collapsed="false">
      <c r="A2" s="6" t="s">
        <v>35</v>
      </c>
      <c r="B2" s="6" t="s">
        <v>36</v>
      </c>
      <c r="C2" s="6" t="s">
        <v>1836</v>
      </c>
      <c r="D2" s="6"/>
      <c r="E2" s="6"/>
      <c r="F2" s="6"/>
      <c r="G2" s="6" t="s">
        <v>1837</v>
      </c>
      <c r="H2" s="6" t="s">
        <v>1838</v>
      </c>
      <c r="I2" s="6" t="s">
        <v>725</v>
      </c>
      <c r="J2" s="6"/>
      <c r="K2" s="6" t="s">
        <v>41</v>
      </c>
      <c r="L2" s="6"/>
    </row>
    <row r="3" customFormat="false" ht="158.2" hidden="false" customHeight="false" outlineLevel="0" collapsed="false">
      <c r="A3" s="6" t="s">
        <v>47</v>
      </c>
      <c r="B3" s="6" t="s">
        <v>48</v>
      </c>
      <c r="C3" s="6" t="s">
        <v>1839</v>
      </c>
      <c r="D3" s="6" t="n">
        <v>100</v>
      </c>
      <c r="E3" s="6" t="n">
        <v>90</v>
      </c>
      <c r="F3" s="6" t="n">
        <v>180</v>
      </c>
      <c r="G3" s="6" t="s">
        <v>1837</v>
      </c>
      <c r="H3" s="6" t="s">
        <v>1840</v>
      </c>
      <c r="I3" s="6" t="s">
        <v>749</v>
      </c>
      <c r="J3" s="6" t="s">
        <v>747</v>
      </c>
      <c r="K3" s="6" t="s">
        <v>51</v>
      </c>
      <c r="L3" s="6"/>
    </row>
    <row r="4" customFormat="false" ht="79.85" hidden="false" customHeight="false" outlineLevel="0" collapsed="false">
      <c r="A4" s="6" t="s">
        <v>55</v>
      </c>
      <c r="B4" s="6" t="s">
        <v>56</v>
      </c>
      <c r="C4" s="6" t="s">
        <v>1839</v>
      </c>
      <c r="D4" s="6" t="n">
        <v>100</v>
      </c>
      <c r="E4" s="6" t="n">
        <v>90</v>
      </c>
      <c r="F4" s="6" t="n">
        <v>180</v>
      </c>
      <c r="G4" s="6" t="s">
        <v>1837</v>
      </c>
      <c r="H4" s="6" t="s">
        <v>1841</v>
      </c>
      <c r="I4" s="6" t="s">
        <v>773</v>
      </c>
      <c r="J4" s="6" t="s">
        <v>771</v>
      </c>
      <c r="K4" s="6"/>
      <c r="L4" s="6"/>
    </row>
    <row r="5" customFormat="false" ht="91" hidden="false" customHeight="false" outlineLevel="0" collapsed="false">
      <c r="A5" s="6" t="s">
        <v>61</v>
      </c>
      <c r="B5" s="6" t="s">
        <v>62</v>
      </c>
      <c r="C5" s="6" t="s">
        <v>1839</v>
      </c>
      <c r="D5" s="6" t="n">
        <v>100</v>
      </c>
      <c r="E5" s="6" t="n">
        <v>90</v>
      </c>
      <c r="F5" s="6" t="n">
        <v>180</v>
      </c>
      <c r="G5" s="6" t="s">
        <v>1837</v>
      </c>
      <c r="H5" s="6" t="s">
        <v>1842</v>
      </c>
      <c r="I5" s="6" t="s">
        <v>798</v>
      </c>
      <c r="J5" s="6" t="s">
        <v>796</v>
      </c>
      <c r="K5" s="6" t="s">
        <v>63</v>
      </c>
      <c r="L5" s="6"/>
    </row>
    <row r="6" customFormat="false" ht="169.4" hidden="false" customHeight="false" outlineLevel="0" collapsed="false">
      <c r="A6" s="6" t="s">
        <v>66</v>
      </c>
      <c r="B6" s="6" t="s">
        <v>67</v>
      </c>
      <c r="C6" s="6" t="s">
        <v>1839</v>
      </c>
      <c r="D6" s="6" t="n">
        <v>100</v>
      </c>
      <c r="E6" s="6" t="n">
        <v>90</v>
      </c>
      <c r="F6" s="6" t="n">
        <v>180</v>
      </c>
      <c r="G6" s="6" t="s">
        <v>1837</v>
      </c>
      <c r="H6" s="6" t="s">
        <v>1843</v>
      </c>
      <c r="I6" s="6" t="s">
        <v>822</v>
      </c>
      <c r="J6" s="6" t="s">
        <v>820</v>
      </c>
      <c r="K6" s="6" t="s">
        <v>68</v>
      </c>
      <c r="L6" s="6"/>
    </row>
    <row r="7" customFormat="false" ht="169.4" hidden="false" customHeight="false" outlineLevel="0" collapsed="false">
      <c r="A7" s="6" t="s">
        <v>71</v>
      </c>
      <c r="B7" s="6" t="s">
        <v>72</v>
      </c>
      <c r="C7" s="6" t="s">
        <v>1844</v>
      </c>
      <c r="D7" s="6" t="n">
        <v>100</v>
      </c>
      <c r="E7" s="6" t="n">
        <v>90</v>
      </c>
      <c r="F7" s="6" t="n">
        <v>90</v>
      </c>
      <c r="G7" s="6" t="s">
        <v>1837</v>
      </c>
      <c r="H7" s="6" t="s">
        <v>1845</v>
      </c>
      <c r="I7" s="6" t="s">
        <v>845</v>
      </c>
      <c r="J7" s="6" t="s">
        <v>843</v>
      </c>
      <c r="K7" s="6" t="s">
        <v>73</v>
      </c>
      <c r="L7" s="6"/>
    </row>
    <row r="8" customFormat="false" ht="79.85" hidden="false" customHeight="false" outlineLevel="0" collapsed="false">
      <c r="A8" s="6" t="s">
        <v>77</v>
      </c>
      <c r="B8" s="6" t="s">
        <v>78</v>
      </c>
      <c r="C8" s="6" t="s">
        <v>1846</v>
      </c>
      <c r="D8" s="6"/>
      <c r="E8" s="6"/>
      <c r="F8" s="6"/>
      <c r="G8" s="6" t="s">
        <v>1837</v>
      </c>
      <c r="H8" s="6" t="s">
        <v>1847</v>
      </c>
      <c r="I8" s="6" t="s">
        <v>869</v>
      </c>
      <c r="J8" s="6" t="s">
        <v>867</v>
      </c>
      <c r="K8" s="6" t="s">
        <v>79</v>
      </c>
      <c r="L8" s="6"/>
    </row>
    <row r="9" customFormat="false" ht="124.6" hidden="false" customHeight="false" outlineLevel="0" collapsed="false">
      <c r="A9" s="6" t="s">
        <v>84</v>
      </c>
      <c r="B9" s="6" t="s">
        <v>85</v>
      </c>
      <c r="C9" s="6" t="s">
        <v>1839</v>
      </c>
      <c r="D9" s="6" t="n">
        <v>100</v>
      </c>
      <c r="E9" s="6" t="n">
        <v>90</v>
      </c>
      <c r="F9" s="6" t="n">
        <v>180</v>
      </c>
      <c r="G9" s="6" t="s">
        <v>1837</v>
      </c>
      <c r="H9" s="6" t="s">
        <v>1848</v>
      </c>
      <c r="I9" s="6" t="s">
        <v>892</v>
      </c>
      <c r="J9" s="6"/>
      <c r="K9" s="6" t="s">
        <v>86</v>
      </c>
      <c r="L9" s="6"/>
    </row>
    <row r="10" customFormat="false" ht="91" hidden="false" customHeight="false" outlineLevel="0" collapsed="false">
      <c r="A10" s="6" t="s">
        <v>89</v>
      </c>
      <c r="B10" s="6" t="s">
        <v>90</v>
      </c>
      <c r="C10" s="6" t="s">
        <v>1846</v>
      </c>
      <c r="D10" s="6"/>
      <c r="E10" s="6"/>
      <c r="F10" s="6"/>
      <c r="G10" s="6" t="s">
        <v>1837</v>
      </c>
      <c r="H10" s="6" t="s">
        <v>1849</v>
      </c>
      <c r="I10" s="6" t="s">
        <v>917</v>
      </c>
      <c r="J10" s="6" t="s">
        <v>915</v>
      </c>
      <c r="K10" s="6" t="s">
        <v>92</v>
      </c>
      <c r="L10" s="6"/>
    </row>
    <row r="11" customFormat="false" ht="79.85" hidden="false" customHeight="false" outlineLevel="0" collapsed="false">
      <c r="A11" s="6" t="s">
        <v>94</v>
      </c>
      <c r="B11" s="6" t="s">
        <v>95</v>
      </c>
      <c r="C11" s="6" t="s">
        <v>1839</v>
      </c>
      <c r="D11" s="6" t="n">
        <v>100</v>
      </c>
      <c r="E11" s="6" t="n">
        <v>90</v>
      </c>
      <c r="F11" s="6" t="n">
        <v>180</v>
      </c>
      <c r="G11" s="6" t="s">
        <v>1837</v>
      </c>
      <c r="H11" s="6" t="s">
        <v>1850</v>
      </c>
      <c r="I11" s="6" t="s">
        <v>941</v>
      </c>
      <c r="J11" s="6" t="s">
        <v>939</v>
      </c>
      <c r="K11" s="6" t="s">
        <v>96</v>
      </c>
      <c r="L11" s="6"/>
    </row>
    <row r="12" customFormat="false" ht="79.85" hidden="false" customHeight="false" outlineLevel="0" collapsed="false">
      <c r="A12" s="6" t="s">
        <v>99</v>
      </c>
      <c r="B12" s="6" t="s">
        <v>100</v>
      </c>
      <c r="C12" s="6" t="s">
        <v>1836</v>
      </c>
      <c r="D12" s="6"/>
      <c r="E12" s="6"/>
      <c r="F12" s="6"/>
      <c r="G12" s="6" t="s">
        <v>1837</v>
      </c>
      <c r="H12" s="6"/>
      <c r="I12" s="6" t="s">
        <v>965</v>
      </c>
      <c r="J12" s="6" t="s">
        <v>964</v>
      </c>
      <c r="K12" s="6"/>
      <c r="L12" s="6"/>
    </row>
    <row r="13" customFormat="false" ht="35.05" hidden="false" customHeight="false" outlineLevel="0" collapsed="false">
      <c r="A13" s="6" t="s">
        <v>103</v>
      </c>
      <c r="B13" s="6" t="s">
        <v>104</v>
      </c>
      <c r="C13" s="6" t="s">
        <v>1839</v>
      </c>
      <c r="D13" s="6" t="n">
        <v>100</v>
      </c>
      <c r="E13" s="6" t="n">
        <v>90</v>
      </c>
      <c r="F13" s="6" t="n">
        <v>180</v>
      </c>
      <c r="G13" s="6" t="s">
        <v>1837</v>
      </c>
      <c r="H13" s="6" t="s">
        <v>1851</v>
      </c>
      <c r="I13" s="6" t="s">
        <v>987</v>
      </c>
      <c r="J13" s="6" t="s">
        <v>985</v>
      </c>
      <c r="K13" s="6" t="s">
        <v>105</v>
      </c>
      <c r="L13" s="6"/>
    </row>
    <row r="14" customFormat="false" ht="91" hidden="false" customHeight="false" outlineLevel="0" collapsed="false">
      <c r="A14" s="6" t="s">
        <v>107</v>
      </c>
      <c r="B14" s="6" t="s">
        <v>108</v>
      </c>
      <c r="C14" s="6" t="s">
        <v>1839</v>
      </c>
      <c r="D14" s="6" t="n">
        <v>100</v>
      </c>
      <c r="E14" s="6" t="n">
        <v>90</v>
      </c>
      <c r="F14" s="6" t="n">
        <v>180</v>
      </c>
      <c r="G14" s="6" t="s">
        <v>1837</v>
      </c>
      <c r="H14" s="6" t="s">
        <v>1852</v>
      </c>
      <c r="I14" s="6" t="s">
        <v>1012</v>
      </c>
      <c r="J14" s="6"/>
      <c r="K14" s="6" t="s">
        <v>109</v>
      </c>
      <c r="L14" s="6"/>
    </row>
    <row r="15" customFormat="false" ht="57.45" hidden="false" customHeight="false" outlineLevel="0" collapsed="false">
      <c r="A15" s="6" t="s">
        <v>111</v>
      </c>
      <c r="B15" s="6" t="s">
        <v>112</v>
      </c>
      <c r="C15" s="6" t="s">
        <v>1853</v>
      </c>
      <c r="D15" s="6" t="n">
        <v>100</v>
      </c>
      <c r="E15" s="6"/>
      <c r="F15" s="6"/>
      <c r="G15" s="6" t="s">
        <v>1837</v>
      </c>
      <c r="H15" s="6" t="s">
        <v>1854</v>
      </c>
      <c r="I15" s="6" t="s">
        <v>1035</v>
      </c>
      <c r="J15" s="6" t="s">
        <v>1033</v>
      </c>
      <c r="K15" s="6" t="s">
        <v>114</v>
      </c>
      <c r="L15" s="6" t="s">
        <v>1855</v>
      </c>
    </row>
    <row r="16" customFormat="false" ht="79.85" hidden="false" customHeight="false" outlineLevel="0" collapsed="false">
      <c r="A16" s="6" t="s">
        <v>117</v>
      </c>
      <c r="B16" s="6" t="s">
        <v>118</v>
      </c>
      <c r="C16" s="6" t="s">
        <v>1844</v>
      </c>
      <c r="D16" s="6" t="n">
        <v>100</v>
      </c>
      <c r="E16" s="6" t="n">
        <v>90</v>
      </c>
      <c r="F16" s="6" t="n">
        <v>180</v>
      </c>
      <c r="G16" s="6" t="s">
        <v>1837</v>
      </c>
      <c r="H16" s="6" t="s">
        <v>1856</v>
      </c>
      <c r="I16" s="6" t="s">
        <v>1055</v>
      </c>
      <c r="J16" s="6" t="s">
        <v>1053</v>
      </c>
      <c r="K16" s="6" t="s">
        <v>119</v>
      </c>
      <c r="L16" s="6" t="s">
        <v>1857</v>
      </c>
    </row>
    <row r="17" customFormat="false" ht="35.05" hidden="false" customHeight="false" outlineLevel="0" collapsed="false">
      <c r="A17" s="6" t="s">
        <v>121</v>
      </c>
      <c r="B17" s="6" t="s">
        <v>122</v>
      </c>
      <c r="C17" s="6" t="s">
        <v>1839</v>
      </c>
      <c r="D17" s="6" t="n">
        <v>100</v>
      </c>
      <c r="E17" s="6" t="n">
        <v>90</v>
      </c>
      <c r="F17" s="6" t="n">
        <v>180</v>
      </c>
      <c r="G17" s="6" t="s">
        <v>1837</v>
      </c>
      <c r="H17" s="6" t="s">
        <v>1851</v>
      </c>
      <c r="I17" s="6" t="s">
        <v>987</v>
      </c>
      <c r="J17" s="6" t="s">
        <v>985</v>
      </c>
      <c r="K17" s="6" t="s">
        <v>105</v>
      </c>
      <c r="L17" s="6"/>
    </row>
    <row r="18" customFormat="false" ht="102.2" hidden="false" customHeight="false" outlineLevel="0" collapsed="false">
      <c r="A18" s="6" t="s">
        <v>124</v>
      </c>
      <c r="B18" s="6" t="s">
        <v>125</v>
      </c>
      <c r="C18" s="6" t="s">
        <v>1836</v>
      </c>
      <c r="D18" s="6"/>
      <c r="E18" s="6"/>
      <c r="F18" s="6"/>
      <c r="G18" s="6" t="s">
        <v>1837</v>
      </c>
      <c r="H18" s="6"/>
      <c r="I18" s="6" t="s">
        <v>1099</v>
      </c>
      <c r="J18" s="6" t="s">
        <v>1098</v>
      </c>
      <c r="K18" s="6"/>
      <c r="L18" s="6"/>
    </row>
    <row r="19" customFormat="false" ht="147" hidden="false" customHeight="false" outlineLevel="0" collapsed="false">
      <c r="A19" s="6" t="s">
        <v>127</v>
      </c>
      <c r="B19" s="6" t="s">
        <v>128</v>
      </c>
      <c r="C19" s="6" t="s">
        <v>1839</v>
      </c>
      <c r="D19" s="6" t="n">
        <v>100</v>
      </c>
      <c r="E19" s="6" t="n">
        <v>90</v>
      </c>
      <c r="F19" s="6" t="n">
        <v>180</v>
      </c>
      <c r="G19" s="6" t="s">
        <v>1837</v>
      </c>
      <c r="H19" s="6" t="s">
        <v>1858</v>
      </c>
      <c r="I19" s="6" t="s">
        <v>1121</v>
      </c>
      <c r="J19" s="6" t="s">
        <v>1119</v>
      </c>
      <c r="K19" s="6" t="s">
        <v>129</v>
      </c>
      <c r="L19" s="6"/>
    </row>
    <row r="20" customFormat="false" ht="68.65" hidden="false" customHeight="false" outlineLevel="0" collapsed="false">
      <c r="A20" s="6" t="s">
        <v>131</v>
      </c>
      <c r="B20" s="6" t="s">
        <v>132</v>
      </c>
      <c r="C20" s="6" t="s">
        <v>1839</v>
      </c>
      <c r="D20" s="6" t="n">
        <v>100</v>
      </c>
      <c r="E20" s="6" t="n">
        <v>60</v>
      </c>
      <c r="F20" s="6" t="n">
        <v>180</v>
      </c>
      <c r="G20" s="6" t="s">
        <v>1837</v>
      </c>
      <c r="H20" s="6" t="s">
        <v>1859</v>
      </c>
      <c r="I20" s="6" t="s">
        <v>1144</v>
      </c>
      <c r="J20" s="6" t="s">
        <v>867</v>
      </c>
      <c r="K20" s="6" t="s">
        <v>133</v>
      </c>
      <c r="L20" s="6"/>
    </row>
    <row r="21" customFormat="false" ht="91" hidden="false" customHeight="false" outlineLevel="0" collapsed="false">
      <c r="A21" s="6" t="s">
        <v>136</v>
      </c>
      <c r="B21" s="6" t="s">
        <v>137</v>
      </c>
      <c r="C21" s="6" t="s">
        <v>1839</v>
      </c>
      <c r="D21" s="6" t="n">
        <v>100</v>
      </c>
      <c r="E21" s="6" t="n">
        <v>90</v>
      </c>
      <c r="F21" s="6" t="n">
        <v>180</v>
      </c>
      <c r="G21" s="6" t="s">
        <v>1837</v>
      </c>
      <c r="H21" s="6" t="s">
        <v>1860</v>
      </c>
      <c r="I21" s="6" t="s">
        <v>1164</v>
      </c>
      <c r="J21" s="6"/>
      <c r="K21" s="6" t="s">
        <v>138</v>
      </c>
      <c r="L21" s="6"/>
    </row>
    <row r="22" customFormat="false" ht="57.45" hidden="false" customHeight="false" outlineLevel="0" collapsed="false">
      <c r="A22" s="6" t="s">
        <v>140</v>
      </c>
      <c r="B22" s="6" t="s">
        <v>141</v>
      </c>
      <c r="C22" s="6" t="s">
        <v>1836</v>
      </c>
      <c r="D22" s="6"/>
      <c r="E22" s="6"/>
      <c r="F22" s="6"/>
      <c r="G22" s="6" t="s">
        <v>1837</v>
      </c>
      <c r="H22" s="6"/>
      <c r="I22" s="6" t="s">
        <v>1187</v>
      </c>
      <c r="J22" s="6" t="s">
        <v>1186</v>
      </c>
      <c r="K22" s="6"/>
      <c r="L22" s="6"/>
    </row>
    <row r="23" customFormat="false" ht="147" hidden="false" customHeight="false" outlineLevel="0" collapsed="false">
      <c r="A23" s="6" t="s">
        <v>143</v>
      </c>
      <c r="B23" s="6" t="s">
        <v>144</v>
      </c>
      <c r="C23" s="6" t="s">
        <v>1839</v>
      </c>
      <c r="D23" s="6" t="n">
        <v>100</v>
      </c>
      <c r="E23" s="6" t="n">
        <v>90</v>
      </c>
      <c r="F23" s="6" t="n">
        <v>180</v>
      </c>
      <c r="G23" s="6" t="s">
        <v>1837</v>
      </c>
      <c r="H23" s="6" t="s">
        <v>1861</v>
      </c>
      <c r="I23" s="6" t="s">
        <v>1207</v>
      </c>
      <c r="J23" s="6" t="s">
        <v>1205</v>
      </c>
      <c r="K23" s="6" t="s">
        <v>133</v>
      </c>
      <c r="L23" s="6"/>
    </row>
    <row r="24" customFormat="false" ht="113.4" hidden="false" customHeight="false" outlineLevel="0" collapsed="false">
      <c r="A24" s="6" t="s">
        <v>146</v>
      </c>
      <c r="B24" s="6" t="s">
        <v>147</v>
      </c>
      <c r="C24" s="6" t="s">
        <v>1839</v>
      </c>
      <c r="D24" s="6" t="n">
        <v>100</v>
      </c>
      <c r="E24" s="6" t="n">
        <v>90</v>
      </c>
      <c r="F24" s="6" t="n">
        <v>180</v>
      </c>
      <c r="G24" s="6" t="s">
        <v>1837</v>
      </c>
      <c r="H24" s="6" t="s">
        <v>1862</v>
      </c>
      <c r="I24" s="6" t="s">
        <v>1230</v>
      </c>
      <c r="J24" s="6" t="s">
        <v>1228</v>
      </c>
      <c r="K24" s="6" t="s">
        <v>148</v>
      </c>
      <c r="L24" s="6"/>
    </row>
    <row r="25" customFormat="false" ht="102.2" hidden="false" customHeight="false" outlineLevel="0" collapsed="false">
      <c r="A25" s="6" t="s">
        <v>150</v>
      </c>
      <c r="B25" s="6" t="s">
        <v>151</v>
      </c>
      <c r="C25" s="6" t="s">
        <v>1836</v>
      </c>
      <c r="D25" s="6"/>
      <c r="E25" s="6"/>
      <c r="F25" s="6"/>
      <c r="G25" s="6" t="s">
        <v>1837</v>
      </c>
      <c r="H25" s="6" t="s">
        <v>1863</v>
      </c>
      <c r="I25" s="6" t="s">
        <v>1253</v>
      </c>
      <c r="J25" s="6"/>
      <c r="K25" s="6" t="s">
        <v>152</v>
      </c>
      <c r="L25" s="6"/>
    </row>
    <row r="26" customFormat="false" ht="180.55" hidden="false" customHeight="false" outlineLevel="0" collapsed="false">
      <c r="A26" s="6" t="s">
        <v>154</v>
      </c>
      <c r="B26" s="6" t="s">
        <v>155</v>
      </c>
      <c r="C26" s="6" t="s">
        <v>1839</v>
      </c>
      <c r="D26" s="6" t="n">
        <v>100</v>
      </c>
      <c r="E26" s="6" t="n">
        <v>90</v>
      </c>
      <c r="F26" s="6" t="n">
        <v>180</v>
      </c>
      <c r="G26" s="6" t="s">
        <v>1837</v>
      </c>
      <c r="H26" s="6" t="s">
        <v>1864</v>
      </c>
      <c r="I26" s="6" t="s">
        <v>1274</v>
      </c>
      <c r="J26" s="6" t="s">
        <v>747</v>
      </c>
      <c r="K26" s="6" t="s">
        <v>156</v>
      </c>
      <c r="L26" s="6"/>
    </row>
    <row r="27" customFormat="false" ht="158.2" hidden="false" customHeight="false" outlineLevel="0" collapsed="false">
      <c r="A27" s="6" t="s">
        <v>158</v>
      </c>
      <c r="B27" s="6" t="s">
        <v>159</v>
      </c>
      <c r="C27" s="6" t="s">
        <v>1839</v>
      </c>
      <c r="D27" s="6" t="n">
        <v>100</v>
      </c>
      <c r="E27" s="6" t="n">
        <v>90</v>
      </c>
      <c r="F27" s="6" t="n">
        <v>180</v>
      </c>
      <c r="G27" s="6" t="s">
        <v>1837</v>
      </c>
      <c r="H27" s="6" t="s">
        <v>1865</v>
      </c>
      <c r="I27" s="6" t="s">
        <v>1297</v>
      </c>
      <c r="J27" s="6" t="s">
        <v>1295</v>
      </c>
      <c r="K27" s="6" t="s">
        <v>160</v>
      </c>
      <c r="L27" s="6"/>
    </row>
    <row r="28" customFormat="false" ht="124.6" hidden="false" customHeight="false" outlineLevel="0" collapsed="false">
      <c r="A28" s="6" t="s">
        <v>162</v>
      </c>
      <c r="B28" s="6" t="s">
        <v>163</v>
      </c>
      <c r="C28" s="6" t="s">
        <v>1839</v>
      </c>
      <c r="D28" s="6" t="n">
        <v>100</v>
      </c>
      <c r="E28" s="6" t="n">
        <v>60</v>
      </c>
      <c r="F28" s="6" t="n">
        <v>180</v>
      </c>
      <c r="G28" s="6" t="s">
        <v>1837</v>
      </c>
      <c r="H28" s="6" t="s">
        <v>1866</v>
      </c>
      <c r="I28" s="6" t="s">
        <v>1319</v>
      </c>
      <c r="J28" s="6"/>
      <c r="K28" s="6"/>
      <c r="L28" s="6"/>
    </row>
    <row r="29" customFormat="false" ht="147" hidden="false" customHeight="false" outlineLevel="0" collapsed="false">
      <c r="A29" s="6" t="s">
        <v>164</v>
      </c>
      <c r="B29" s="6" t="s">
        <v>165</v>
      </c>
      <c r="C29" s="6" t="s">
        <v>1839</v>
      </c>
      <c r="D29" s="6" t="n">
        <v>100</v>
      </c>
      <c r="E29" s="6" t="n">
        <v>90</v>
      </c>
      <c r="F29" s="6" t="n">
        <v>180</v>
      </c>
      <c r="G29" s="6" t="s">
        <v>1837</v>
      </c>
      <c r="H29" s="6" t="s">
        <v>1867</v>
      </c>
      <c r="I29" s="6" t="s">
        <v>1344</v>
      </c>
      <c r="J29" s="6" t="s">
        <v>1342</v>
      </c>
      <c r="K29" s="6" t="s">
        <v>166</v>
      </c>
      <c r="L29" s="6"/>
    </row>
    <row r="30" customFormat="false" ht="57.45" hidden="false" customHeight="false" outlineLevel="0" collapsed="false">
      <c r="A30" s="6" t="s">
        <v>168</v>
      </c>
      <c r="B30" s="6" t="s">
        <v>169</v>
      </c>
      <c r="C30" s="6" t="s">
        <v>1836</v>
      </c>
      <c r="D30" s="6"/>
      <c r="E30" s="6"/>
      <c r="F30" s="6"/>
      <c r="G30" s="6" t="s">
        <v>1837</v>
      </c>
      <c r="H30" s="6" t="s">
        <v>1841</v>
      </c>
      <c r="I30" s="6" t="s">
        <v>1369</v>
      </c>
      <c r="J30" s="6" t="s">
        <v>1368</v>
      </c>
      <c r="K30" s="6"/>
      <c r="L30" s="6"/>
    </row>
    <row r="31" customFormat="false" ht="79.85" hidden="false" customHeight="false" outlineLevel="0" collapsed="false">
      <c r="A31" s="6" t="s">
        <v>172</v>
      </c>
      <c r="B31" s="6" t="s">
        <v>173</v>
      </c>
      <c r="C31" s="6" t="s">
        <v>1836</v>
      </c>
      <c r="D31" s="6"/>
      <c r="E31" s="6"/>
      <c r="F31" s="6"/>
      <c r="G31" s="6" t="s">
        <v>1837</v>
      </c>
      <c r="H31" s="6"/>
      <c r="I31" s="6" t="s">
        <v>1390</v>
      </c>
      <c r="J31" s="6" t="s">
        <v>1389</v>
      </c>
      <c r="K31" s="6" t="s">
        <v>174</v>
      </c>
      <c r="L31" s="6"/>
    </row>
    <row r="32" customFormat="false" ht="180.55" hidden="false" customHeight="false" outlineLevel="0" collapsed="false">
      <c r="A32" s="6" t="s">
        <v>176</v>
      </c>
      <c r="B32" s="6" t="s">
        <v>177</v>
      </c>
      <c r="C32" s="6" t="s">
        <v>1839</v>
      </c>
      <c r="D32" s="6" t="n">
        <v>100</v>
      </c>
      <c r="E32" s="6" t="n">
        <v>90</v>
      </c>
      <c r="F32" s="6" t="n">
        <v>180</v>
      </c>
      <c r="G32" s="6" t="s">
        <v>1837</v>
      </c>
      <c r="H32" s="6" t="s">
        <v>1868</v>
      </c>
      <c r="I32" s="6" t="s">
        <v>1409</v>
      </c>
      <c r="J32" s="6" t="s">
        <v>1407</v>
      </c>
      <c r="K32" s="6" t="s">
        <v>178</v>
      </c>
      <c r="L32" s="6" t="s">
        <v>1869</v>
      </c>
    </row>
    <row r="33" customFormat="false" ht="35.05" hidden="false" customHeight="false" outlineLevel="0" collapsed="false">
      <c r="A33" s="6" t="s">
        <v>180</v>
      </c>
      <c r="B33" s="6" t="s">
        <v>181</v>
      </c>
      <c r="C33" s="6" t="s">
        <v>1839</v>
      </c>
      <c r="D33" s="6" t="n">
        <v>100</v>
      </c>
      <c r="E33" s="6" t="n">
        <v>90</v>
      </c>
      <c r="F33" s="6" t="n">
        <v>180</v>
      </c>
      <c r="G33" s="6" t="s">
        <v>1837</v>
      </c>
      <c r="H33" s="6"/>
      <c r="I33" s="6" t="s">
        <v>1432</v>
      </c>
      <c r="J33" s="6"/>
      <c r="K33" s="6" t="s">
        <v>182</v>
      </c>
      <c r="L33" s="6"/>
    </row>
    <row r="34" customFormat="false" ht="46.25" hidden="false" customHeight="false" outlineLevel="0" collapsed="false">
      <c r="A34" s="6" t="s">
        <v>184</v>
      </c>
      <c r="B34" s="6" t="s">
        <v>185</v>
      </c>
      <c r="C34" s="6" t="s">
        <v>1836</v>
      </c>
      <c r="D34" s="6"/>
      <c r="E34" s="6"/>
      <c r="F34" s="6"/>
      <c r="G34" s="6" t="s">
        <v>1837</v>
      </c>
      <c r="H34" s="6"/>
      <c r="I34" s="6" t="s">
        <v>1454</v>
      </c>
      <c r="J34" s="6" t="s">
        <v>1453</v>
      </c>
      <c r="K34" s="6"/>
      <c r="L34" s="6"/>
    </row>
    <row r="35" customFormat="false" ht="57.45" hidden="false" customHeight="false" outlineLevel="0" collapsed="false">
      <c r="A35" s="6" t="s">
        <v>187</v>
      </c>
      <c r="B35" s="6" t="s">
        <v>188</v>
      </c>
      <c r="C35" s="6" t="s">
        <v>1839</v>
      </c>
      <c r="D35" s="6" t="n">
        <v>100</v>
      </c>
      <c r="E35" s="6" t="n">
        <v>90</v>
      </c>
      <c r="F35" s="6" t="n">
        <v>180</v>
      </c>
      <c r="G35" s="6" t="s">
        <v>1837</v>
      </c>
      <c r="H35" s="6" t="s">
        <v>1870</v>
      </c>
      <c r="I35" s="6" t="s">
        <v>1470</v>
      </c>
      <c r="J35" s="6"/>
      <c r="K35" s="6" t="s">
        <v>189</v>
      </c>
      <c r="L35" s="6"/>
    </row>
    <row r="36" customFormat="false" ht="135.8" hidden="false" customHeight="false" outlineLevel="0" collapsed="false">
      <c r="A36" s="6" t="s">
        <v>191</v>
      </c>
      <c r="B36" s="6" t="s">
        <v>192</v>
      </c>
      <c r="C36" s="6" t="s">
        <v>1844</v>
      </c>
      <c r="D36" s="6" t="n">
        <v>100</v>
      </c>
      <c r="E36" s="6" t="n">
        <v>90</v>
      </c>
      <c r="F36" s="6" t="n">
        <v>180</v>
      </c>
      <c r="G36" s="6" t="s">
        <v>1837</v>
      </c>
      <c r="H36" s="6" t="s">
        <v>1871</v>
      </c>
      <c r="I36" s="6" t="s">
        <v>1494</v>
      </c>
      <c r="J36" s="6" t="s">
        <v>1492</v>
      </c>
      <c r="K36" s="6" t="s">
        <v>193</v>
      </c>
      <c r="L36" s="6"/>
    </row>
    <row r="37" customFormat="false" ht="113.4" hidden="false" customHeight="false" outlineLevel="0" collapsed="false">
      <c r="A37" s="6" t="s">
        <v>195</v>
      </c>
      <c r="B37" s="6" t="s">
        <v>196</v>
      </c>
      <c r="C37" s="6" t="s">
        <v>1839</v>
      </c>
      <c r="D37" s="6" t="n">
        <v>100</v>
      </c>
      <c r="E37" s="6" t="n">
        <v>90</v>
      </c>
      <c r="F37" s="6" t="n">
        <v>180</v>
      </c>
      <c r="G37" s="6" t="s">
        <v>1837</v>
      </c>
      <c r="H37" s="6" t="s">
        <v>1872</v>
      </c>
      <c r="I37" s="6" t="s">
        <v>1517</v>
      </c>
      <c r="J37" s="6" t="s">
        <v>1515</v>
      </c>
      <c r="K37" s="6" t="s">
        <v>197</v>
      </c>
      <c r="L37" s="6"/>
    </row>
    <row r="38" customFormat="false" ht="113.4" hidden="false" customHeight="false" outlineLevel="0" collapsed="false">
      <c r="A38" s="6" t="s">
        <v>199</v>
      </c>
      <c r="B38" s="6" t="s">
        <v>200</v>
      </c>
      <c r="C38" s="6" t="s">
        <v>1839</v>
      </c>
      <c r="D38" s="6" t="n">
        <v>100</v>
      </c>
      <c r="E38" s="6" t="n">
        <v>90</v>
      </c>
      <c r="F38" s="6" t="n">
        <v>180</v>
      </c>
      <c r="G38" s="6" t="s">
        <v>1837</v>
      </c>
      <c r="H38" s="6" t="s">
        <v>1873</v>
      </c>
      <c r="I38" s="6" t="s">
        <v>1538</v>
      </c>
      <c r="J38" s="6"/>
      <c r="K38" s="6" t="s">
        <v>201</v>
      </c>
      <c r="L38" s="6"/>
    </row>
    <row r="39" customFormat="false" ht="68.65" hidden="false" customHeight="false" outlineLevel="0" collapsed="false">
      <c r="A39" s="6" t="s">
        <v>203</v>
      </c>
      <c r="B39" s="6" t="s">
        <v>204</v>
      </c>
      <c r="C39" s="6" t="s">
        <v>1839</v>
      </c>
      <c r="D39" s="6" t="n">
        <v>100</v>
      </c>
      <c r="E39" s="6" t="n">
        <v>90</v>
      </c>
      <c r="F39" s="6" t="n">
        <v>180</v>
      </c>
      <c r="G39" s="6" t="s">
        <v>1837</v>
      </c>
      <c r="H39" s="6" t="s">
        <v>1874</v>
      </c>
      <c r="I39" s="6" t="s">
        <v>1562</v>
      </c>
      <c r="J39" s="6" t="s">
        <v>1560</v>
      </c>
      <c r="K39" s="6" t="s">
        <v>205</v>
      </c>
      <c r="L39" s="6"/>
    </row>
    <row r="40" customFormat="false" ht="79.85" hidden="false" customHeight="false" outlineLevel="0" collapsed="false">
      <c r="A40" s="6" t="s">
        <v>207</v>
      </c>
      <c r="B40" s="6" t="s">
        <v>208</v>
      </c>
      <c r="C40" s="6" t="s">
        <v>1846</v>
      </c>
      <c r="D40" s="6"/>
      <c r="E40" s="6"/>
      <c r="F40" s="6"/>
      <c r="G40" s="6" t="s">
        <v>1837</v>
      </c>
      <c r="H40" s="6" t="s">
        <v>1863</v>
      </c>
      <c r="I40" s="6" t="s">
        <v>1585</v>
      </c>
      <c r="J40" s="6" t="s">
        <v>1584</v>
      </c>
      <c r="K40" s="6" t="s">
        <v>209</v>
      </c>
      <c r="L40" s="6"/>
    </row>
    <row r="41" customFormat="false" ht="91" hidden="false" customHeight="false" outlineLevel="0" collapsed="false">
      <c r="A41" s="6" t="s">
        <v>212</v>
      </c>
      <c r="B41" s="6" t="s">
        <v>213</v>
      </c>
      <c r="C41" s="6" t="s">
        <v>1839</v>
      </c>
      <c r="D41" s="6" t="n">
        <v>100</v>
      </c>
      <c r="E41" s="6" t="n">
        <v>90</v>
      </c>
      <c r="F41" s="6" t="n">
        <v>180</v>
      </c>
      <c r="G41" s="6" t="s">
        <v>1837</v>
      </c>
      <c r="H41" s="6" t="s">
        <v>1875</v>
      </c>
      <c r="I41" s="6" t="s">
        <v>1609</v>
      </c>
      <c r="J41" s="6" t="s">
        <v>1607</v>
      </c>
      <c r="K41" s="6" t="s">
        <v>214</v>
      </c>
      <c r="L41" s="6"/>
    </row>
    <row r="42" customFormat="false" ht="15" hidden="false" customHeight="false" outlineLevel="0" collapsed="false">
      <c r="A42" s="6" t="s">
        <v>216</v>
      </c>
      <c r="B42" s="6" t="s">
        <v>217</v>
      </c>
      <c r="C42" s="6" t="s">
        <v>1836</v>
      </c>
      <c r="D42" s="6"/>
      <c r="E42" s="6"/>
      <c r="F42" s="6"/>
      <c r="G42" s="6" t="s">
        <v>1837</v>
      </c>
      <c r="H42" s="6"/>
      <c r="I42" s="6" t="s">
        <v>1630</v>
      </c>
      <c r="J42" s="6"/>
      <c r="K42" s="6"/>
      <c r="L42" s="6"/>
    </row>
    <row r="43" customFormat="false" ht="23.85" hidden="false" customHeight="false" outlineLevel="0" collapsed="false">
      <c r="A43" s="6" t="s">
        <v>218</v>
      </c>
      <c r="B43" s="6" t="s">
        <v>219</v>
      </c>
      <c r="C43" s="6" t="s">
        <v>1836</v>
      </c>
      <c r="D43" s="6"/>
      <c r="E43" s="6"/>
      <c r="F43" s="6"/>
      <c r="G43" s="6" t="s">
        <v>1837</v>
      </c>
      <c r="H43" s="6"/>
      <c r="I43" s="6" t="s">
        <v>1638</v>
      </c>
      <c r="J43" s="6"/>
      <c r="K43" s="6"/>
      <c r="L43" s="6"/>
    </row>
    <row r="44" customFormat="false" ht="35.05" hidden="false" customHeight="false" outlineLevel="0" collapsed="false">
      <c r="A44" s="6" t="s">
        <v>220</v>
      </c>
      <c r="B44" s="6" t="s">
        <v>221</v>
      </c>
      <c r="C44" s="6" t="s">
        <v>1876</v>
      </c>
      <c r="D44" s="6" t="n">
        <v>100</v>
      </c>
      <c r="E44" s="6" t="n">
        <v>90</v>
      </c>
      <c r="F44" s="6" t="n">
        <v>180</v>
      </c>
      <c r="G44" s="6" t="s">
        <v>1837</v>
      </c>
      <c r="H44" s="6" t="s">
        <v>1854</v>
      </c>
      <c r="I44" s="6" t="s">
        <v>1658</v>
      </c>
      <c r="J44" s="6" t="s">
        <v>1657</v>
      </c>
      <c r="K44" s="6" t="s">
        <v>222</v>
      </c>
      <c r="L44" s="6" t="s">
        <v>1877</v>
      </c>
    </row>
    <row r="45" customFormat="false" ht="135.8" hidden="false" customHeight="false" outlineLevel="0" collapsed="false">
      <c r="A45" s="6" t="s">
        <v>226</v>
      </c>
      <c r="B45" s="6" t="s">
        <v>227</v>
      </c>
      <c r="C45" s="6" t="s">
        <v>1839</v>
      </c>
      <c r="D45" s="6" t="n">
        <v>100</v>
      </c>
      <c r="E45" s="6" t="n">
        <v>90</v>
      </c>
      <c r="F45" s="6" t="n">
        <v>180</v>
      </c>
      <c r="G45" s="6" t="s">
        <v>1837</v>
      </c>
      <c r="H45" s="6" t="s">
        <v>1878</v>
      </c>
      <c r="I45" s="6" t="s">
        <v>1682</v>
      </c>
      <c r="J45" s="6" t="s">
        <v>1680</v>
      </c>
      <c r="K45" s="6" t="s">
        <v>228</v>
      </c>
      <c r="L45" s="6"/>
    </row>
    <row r="46" customFormat="false" ht="57.45" hidden="false" customHeight="false" outlineLevel="0" collapsed="false">
      <c r="A46" s="6" t="s">
        <v>230</v>
      </c>
      <c r="B46" s="6" t="s">
        <v>231</v>
      </c>
      <c r="C46" s="6" t="s">
        <v>1839</v>
      </c>
      <c r="D46" s="6" t="n">
        <v>100</v>
      </c>
      <c r="E46" s="6" t="n">
        <v>90</v>
      </c>
      <c r="F46" s="6"/>
      <c r="G46" s="6" t="s">
        <v>1837</v>
      </c>
      <c r="H46" s="6" t="s">
        <v>1879</v>
      </c>
      <c r="I46" s="6" t="s">
        <v>1705</v>
      </c>
      <c r="J46" s="6"/>
      <c r="K46" s="6"/>
      <c r="L46" s="6" t="s">
        <v>1880</v>
      </c>
    </row>
    <row r="47" customFormat="false" ht="35.05" hidden="false" customHeight="false" outlineLevel="0" collapsed="false">
      <c r="A47" s="6" t="s">
        <v>233</v>
      </c>
      <c r="B47" s="6" t="s">
        <v>234</v>
      </c>
      <c r="C47" s="6" t="s">
        <v>1836</v>
      </c>
      <c r="D47" s="6"/>
      <c r="E47" s="6"/>
      <c r="F47" s="6"/>
      <c r="G47" s="6" t="s">
        <v>1837</v>
      </c>
      <c r="H47" s="6"/>
      <c r="I47" s="6" t="s">
        <v>1723</v>
      </c>
      <c r="J47" s="6"/>
      <c r="K47" s="6"/>
      <c r="L47" s="6"/>
    </row>
    <row r="48" customFormat="false" ht="91" hidden="false" customHeight="false" outlineLevel="0" collapsed="false">
      <c r="A48" s="6" t="s">
        <v>236</v>
      </c>
      <c r="B48" s="6" t="s">
        <v>237</v>
      </c>
      <c r="C48" s="6" t="s">
        <v>1836</v>
      </c>
      <c r="D48" s="6"/>
      <c r="E48" s="6"/>
      <c r="F48" s="6"/>
      <c r="G48" s="6" t="s">
        <v>1837</v>
      </c>
      <c r="H48" s="6" t="s">
        <v>1881</v>
      </c>
      <c r="I48" s="6" t="s">
        <v>1745</v>
      </c>
      <c r="J48" s="6"/>
      <c r="K48" s="6" t="s">
        <v>238</v>
      </c>
      <c r="L48" s="6"/>
    </row>
    <row r="49" customFormat="false" ht="57.45" hidden="false" customHeight="false" outlineLevel="0" collapsed="false">
      <c r="A49" s="6" t="s">
        <v>240</v>
      </c>
      <c r="B49" s="6" t="s">
        <v>241</v>
      </c>
      <c r="C49" s="6" t="s">
        <v>1839</v>
      </c>
      <c r="D49" s="6" t="n">
        <v>100</v>
      </c>
      <c r="E49" s="6" t="n">
        <v>90</v>
      </c>
      <c r="F49" s="6" t="n">
        <v>180</v>
      </c>
      <c r="G49" s="6" t="s">
        <v>1882</v>
      </c>
      <c r="H49" s="6" t="s">
        <v>1883</v>
      </c>
      <c r="I49" s="6" t="s">
        <v>1766</v>
      </c>
      <c r="J49" s="6" t="s">
        <v>1764</v>
      </c>
      <c r="K49" s="6"/>
      <c r="L49" s="6" t="s">
        <v>1884</v>
      </c>
    </row>
    <row r="50" customFormat="false" ht="79.85" hidden="false" customHeight="false" outlineLevel="0" collapsed="false">
      <c r="A50" s="6" t="s">
        <v>245</v>
      </c>
      <c r="B50" s="6" t="s">
        <v>246</v>
      </c>
      <c r="C50" s="6" t="s">
        <v>1844</v>
      </c>
      <c r="D50" s="6" t="n">
        <v>100</v>
      </c>
      <c r="E50" s="6" t="n">
        <v>90</v>
      </c>
      <c r="F50" s="6" t="n">
        <v>180</v>
      </c>
      <c r="G50" s="6" t="s">
        <v>1837</v>
      </c>
      <c r="H50" s="6" t="s">
        <v>1850</v>
      </c>
      <c r="I50" s="6" t="s">
        <v>1790</v>
      </c>
      <c r="J50" s="6" t="s">
        <v>1789</v>
      </c>
      <c r="K50" s="6" t="s">
        <v>247</v>
      </c>
      <c r="L50" s="6"/>
    </row>
    <row r="51" customFormat="false" ht="124.6" hidden="false" customHeight="false" outlineLevel="0" collapsed="false">
      <c r="A51" s="6" t="s">
        <v>249</v>
      </c>
      <c r="B51" s="6" t="s">
        <v>250</v>
      </c>
      <c r="C51" s="6" t="s">
        <v>1839</v>
      </c>
      <c r="D51" s="6" t="n">
        <v>100</v>
      </c>
      <c r="E51" s="6" t="n">
        <v>90</v>
      </c>
      <c r="F51" s="6" t="n">
        <v>180</v>
      </c>
      <c r="G51" s="6" t="s">
        <v>1837</v>
      </c>
      <c r="H51" s="6" t="s">
        <v>1885</v>
      </c>
      <c r="I51" s="6" t="s">
        <v>1812</v>
      </c>
      <c r="J51" s="6" t="s">
        <v>1810</v>
      </c>
      <c r="K51" s="6" t="s">
        <v>251</v>
      </c>
      <c r="L51" s="6"/>
    </row>
  </sheetData>
  <autoFilter ref="A1:L5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5"/>
    <col collapsed="false" customWidth="true" hidden="false" outlineLevel="0" max="3" min="3" style="0" width="26"/>
    <col collapsed="false" customWidth="true" hidden="false" outlineLevel="0" max="4" min="4" style="0" width="12"/>
    <col collapsed="false" customWidth="true" hidden="false" outlineLevel="0" max="5" min="5" style="0" width="34"/>
    <col collapsed="false" customWidth="true" hidden="false" outlineLevel="0" max="6" min="6" style="0" width="14"/>
    <col collapsed="false" customWidth="true" hidden="false" outlineLevel="0" max="7" min="7" style="0" width="12"/>
    <col collapsed="false" customWidth="true" hidden="false" outlineLevel="0" max="8" min="8" style="0" width="14"/>
    <col collapsed="false" customWidth="true" hidden="false" outlineLevel="0" max="9" min="9" style="0" width="30"/>
    <col collapsed="false" customWidth="true" hidden="false" outlineLevel="0" max="10" min="10" style="0" width="50"/>
    <col collapsed="false" customWidth="true" hidden="false" outlineLevel="0" max="12" min="11" style="0" width="13"/>
    <col collapsed="false" customWidth="true" hidden="false" outlineLevel="0" max="13" min="13" style="0" width="60"/>
  </cols>
  <sheetData>
    <row r="1" customFormat="false" ht="31.5" hidden="false" customHeight="true" outlineLevel="0" collapsed="false">
      <c r="A1" s="4" t="s">
        <v>16</v>
      </c>
      <c r="B1" s="4" t="s">
        <v>17</v>
      </c>
      <c r="C1" s="4" t="s">
        <v>1886</v>
      </c>
      <c r="D1" s="4" t="s">
        <v>1887</v>
      </c>
      <c r="E1" s="4" t="s">
        <v>1888</v>
      </c>
      <c r="F1" s="4" t="s">
        <v>1889</v>
      </c>
      <c r="G1" s="4" t="s">
        <v>1890</v>
      </c>
      <c r="H1" s="4" t="s">
        <v>1891</v>
      </c>
      <c r="I1" s="4" t="s">
        <v>1892</v>
      </c>
      <c r="J1" s="4" t="s">
        <v>1893</v>
      </c>
      <c r="K1" s="4" t="s">
        <v>1894</v>
      </c>
      <c r="L1" s="4" t="s">
        <v>1895</v>
      </c>
      <c r="M1" s="4" t="s">
        <v>1896</v>
      </c>
    </row>
    <row r="2" customFormat="false" ht="68.65" hidden="false" customHeight="false" outlineLevel="0" collapsed="false">
      <c r="A2" s="6" t="s">
        <v>35</v>
      </c>
      <c r="B2" s="6" t="s">
        <v>36</v>
      </c>
      <c r="C2" s="6" t="s">
        <v>1897</v>
      </c>
      <c r="D2" s="6" t="n">
        <v>2024</v>
      </c>
      <c r="E2" s="6" t="s">
        <v>1898</v>
      </c>
      <c r="F2" s="6" t="s">
        <v>1899</v>
      </c>
      <c r="G2" s="6" t="n">
        <v>2018</v>
      </c>
      <c r="H2" s="6"/>
      <c r="I2" s="6"/>
      <c r="J2" s="6"/>
      <c r="K2" s="6" t="s">
        <v>44</v>
      </c>
      <c r="L2" s="6" t="s">
        <v>1900</v>
      </c>
      <c r="M2" s="6" t="s">
        <v>1901</v>
      </c>
    </row>
    <row r="3" customFormat="false" ht="57.45" hidden="false" customHeight="false" outlineLevel="0" collapsed="false">
      <c r="A3" s="6" t="s">
        <v>47</v>
      </c>
      <c r="B3" s="6" t="s">
        <v>48</v>
      </c>
      <c r="C3" s="6" t="s">
        <v>281</v>
      </c>
      <c r="D3" s="6" t="n">
        <v>2022</v>
      </c>
      <c r="E3" s="6" t="s">
        <v>1902</v>
      </c>
      <c r="F3" s="6" t="s">
        <v>1903</v>
      </c>
      <c r="G3" s="6" t="n">
        <v>1981</v>
      </c>
      <c r="H3" s="6"/>
      <c r="I3" s="6"/>
      <c r="J3" s="6"/>
      <c r="K3" s="6" t="s">
        <v>44</v>
      </c>
      <c r="L3" s="6" t="s">
        <v>1900</v>
      </c>
      <c r="M3" s="6" t="s">
        <v>1904</v>
      </c>
    </row>
    <row r="4" customFormat="false" ht="57.45" hidden="false" customHeight="false" outlineLevel="0" collapsed="false">
      <c r="A4" s="6" t="s">
        <v>55</v>
      </c>
      <c r="B4" s="6" t="s">
        <v>56</v>
      </c>
      <c r="C4" s="6" t="s">
        <v>1905</v>
      </c>
      <c r="D4" s="6" t="n">
        <v>2023</v>
      </c>
      <c r="E4" s="6" t="s">
        <v>1906</v>
      </c>
      <c r="F4" s="6" t="s">
        <v>1907</v>
      </c>
      <c r="G4" s="6" t="n">
        <v>1997</v>
      </c>
      <c r="H4" s="6"/>
      <c r="I4" s="6"/>
      <c r="J4" s="6"/>
      <c r="K4" s="6" t="s">
        <v>44</v>
      </c>
      <c r="L4" s="6" t="s">
        <v>1900</v>
      </c>
      <c r="M4" s="6" t="s">
        <v>1908</v>
      </c>
    </row>
    <row r="5" customFormat="false" ht="79.85" hidden="false" customHeight="false" outlineLevel="0" collapsed="false">
      <c r="A5" s="6" t="s">
        <v>61</v>
      </c>
      <c r="B5" s="6" t="s">
        <v>62</v>
      </c>
      <c r="C5" s="6" t="s">
        <v>1909</v>
      </c>
      <c r="D5" s="6" t="n">
        <v>2024</v>
      </c>
      <c r="E5" s="6" t="s">
        <v>1910</v>
      </c>
      <c r="F5" s="6" t="s">
        <v>1911</v>
      </c>
      <c r="G5" s="6"/>
      <c r="H5" s="6"/>
      <c r="I5" s="6"/>
      <c r="J5" s="6"/>
      <c r="K5" s="6" t="s">
        <v>44</v>
      </c>
      <c r="L5" s="6" t="s">
        <v>1900</v>
      </c>
      <c r="M5" s="6" t="s">
        <v>1912</v>
      </c>
    </row>
    <row r="6" customFormat="false" ht="68.65" hidden="false" customHeight="false" outlineLevel="0" collapsed="false">
      <c r="A6" s="6" t="s">
        <v>66</v>
      </c>
      <c r="B6" s="6" t="s">
        <v>67</v>
      </c>
      <c r="C6" s="6" t="s">
        <v>1913</v>
      </c>
      <c r="D6" s="6" t="n">
        <v>2019</v>
      </c>
      <c r="E6" s="6" t="s">
        <v>1914</v>
      </c>
      <c r="F6" s="6" t="s">
        <v>1915</v>
      </c>
      <c r="G6" s="6"/>
      <c r="H6" s="6"/>
      <c r="I6" s="6"/>
      <c r="J6" s="6"/>
      <c r="K6" s="6" t="s">
        <v>44</v>
      </c>
      <c r="L6" s="6" t="s">
        <v>1900</v>
      </c>
      <c r="M6" s="6" t="s">
        <v>1916</v>
      </c>
    </row>
    <row r="7" customFormat="false" ht="79.85" hidden="false" customHeight="false" outlineLevel="0" collapsed="false">
      <c r="A7" s="6" t="s">
        <v>71</v>
      </c>
      <c r="B7" s="6" t="s">
        <v>72</v>
      </c>
      <c r="C7" s="6" t="s">
        <v>311</v>
      </c>
      <c r="D7" s="6" t="n">
        <v>2023</v>
      </c>
      <c r="E7" s="6" t="s">
        <v>1917</v>
      </c>
      <c r="F7" s="6" t="s">
        <v>1918</v>
      </c>
      <c r="G7" s="6" t="n">
        <v>2018</v>
      </c>
      <c r="H7" s="6"/>
      <c r="I7" s="6"/>
      <c r="J7" s="6"/>
      <c r="K7" s="6" t="s">
        <v>44</v>
      </c>
      <c r="L7" s="6" t="s">
        <v>1900</v>
      </c>
      <c r="M7" s="6" t="s">
        <v>1919</v>
      </c>
    </row>
    <row r="8" customFormat="false" ht="57.45" hidden="false" customHeight="false" outlineLevel="0" collapsed="false">
      <c r="A8" s="6" t="s">
        <v>77</v>
      </c>
      <c r="B8" s="6" t="s">
        <v>78</v>
      </c>
      <c r="C8" s="6" t="s">
        <v>317</v>
      </c>
      <c r="D8" s="6" t="n">
        <v>2015</v>
      </c>
      <c r="E8" s="6" t="s">
        <v>1920</v>
      </c>
      <c r="F8" s="6" t="s">
        <v>1921</v>
      </c>
      <c r="G8" s="6" t="n">
        <v>1982</v>
      </c>
      <c r="H8" s="6" t="s">
        <v>1922</v>
      </c>
      <c r="I8" s="6" t="s">
        <v>1923</v>
      </c>
      <c r="J8" s="6" t="s">
        <v>1924</v>
      </c>
      <c r="K8" s="6" t="s">
        <v>44</v>
      </c>
      <c r="L8" s="6" t="s">
        <v>1900</v>
      </c>
      <c r="M8" s="6" t="s">
        <v>1925</v>
      </c>
    </row>
    <row r="9" customFormat="false" ht="57.45" hidden="false" customHeight="false" outlineLevel="0" collapsed="false">
      <c r="A9" s="6" t="s">
        <v>84</v>
      </c>
      <c r="B9" s="6" t="s">
        <v>85</v>
      </c>
      <c r="C9" s="6" t="s">
        <v>323</v>
      </c>
      <c r="D9" s="6" t="n">
        <v>2024</v>
      </c>
      <c r="E9" s="6" t="s">
        <v>1926</v>
      </c>
      <c r="F9" s="6" t="s">
        <v>1927</v>
      </c>
      <c r="G9" s="6" t="n">
        <v>1983</v>
      </c>
      <c r="H9" s="6"/>
      <c r="I9" s="6"/>
      <c r="J9" s="6"/>
      <c r="K9" s="6" t="s">
        <v>44</v>
      </c>
      <c r="L9" s="6" t="s">
        <v>1900</v>
      </c>
      <c r="M9" s="6" t="s">
        <v>1928</v>
      </c>
    </row>
    <row r="10" customFormat="false" ht="79.85" hidden="false" customHeight="false" outlineLevel="0" collapsed="false">
      <c r="A10" s="6" t="s">
        <v>89</v>
      </c>
      <c r="B10" s="6" t="s">
        <v>90</v>
      </c>
      <c r="C10" s="6" t="s">
        <v>332</v>
      </c>
      <c r="D10" s="6" t="n">
        <v>2009</v>
      </c>
      <c r="E10" s="6" t="s">
        <v>1929</v>
      </c>
      <c r="F10" s="6" t="s">
        <v>1930</v>
      </c>
      <c r="G10" s="6" t="n">
        <v>1970</v>
      </c>
      <c r="H10" s="6"/>
      <c r="I10" s="6"/>
      <c r="J10" s="6"/>
      <c r="K10" s="6" t="s">
        <v>44</v>
      </c>
      <c r="L10" s="6" t="s">
        <v>1900</v>
      </c>
      <c r="M10" s="6" t="s">
        <v>1931</v>
      </c>
    </row>
    <row r="11" customFormat="false" ht="68.65" hidden="false" customHeight="false" outlineLevel="0" collapsed="false">
      <c r="A11" s="6" t="s">
        <v>94</v>
      </c>
      <c r="B11" s="6" t="s">
        <v>95</v>
      </c>
      <c r="C11" s="6" t="s">
        <v>1932</v>
      </c>
      <c r="D11" s="6" t="n">
        <v>2025</v>
      </c>
      <c r="E11" s="6" t="s">
        <v>1933</v>
      </c>
      <c r="F11" s="6" t="s">
        <v>1934</v>
      </c>
      <c r="G11" s="6" t="n">
        <v>1993</v>
      </c>
      <c r="H11" s="6"/>
      <c r="I11" s="6"/>
      <c r="J11" s="6"/>
      <c r="K11" s="6" t="s">
        <v>44</v>
      </c>
      <c r="L11" s="6" t="s">
        <v>1900</v>
      </c>
      <c r="M11" s="6" t="s">
        <v>1935</v>
      </c>
    </row>
    <row r="12" customFormat="false" ht="68.65" hidden="false" customHeight="false" outlineLevel="0" collapsed="false">
      <c r="A12" s="6" t="s">
        <v>99</v>
      </c>
      <c r="B12" s="6" t="s">
        <v>100</v>
      </c>
      <c r="C12" s="6" t="s">
        <v>1936</v>
      </c>
      <c r="D12" s="6" t="n">
        <v>2012</v>
      </c>
      <c r="E12" s="6" t="s">
        <v>1937</v>
      </c>
      <c r="F12" s="6" t="s">
        <v>1938</v>
      </c>
      <c r="G12" s="6" t="n">
        <v>1939</v>
      </c>
      <c r="H12" s="6"/>
      <c r="I12" s="6"/>
      <c r="J12" s="6"/>
      <c r="K12" s="6" t="s">
        <v>44</v>
      </c>
      <c r="L12" s="6" t="s">
        <v>1900</v>
      </c>
      <c r="M12" s="6" t="s">
        <v>1939</v>
      </c>
    </row>
    <row r="13" customFormat="false" ht="91" hidden="false" customHeight="false" outlineLevel="0" collapsed="false">
      <c r="A13" s="6" t="s">
        <v>103</v>
      </c>
      <c r="B13" s="6" t="s">
        <v>104</v>
      </c>
      <c r="C13" s="6" t="s">
        <v>355</v>
      </c>
      <c r="D13" s="6" t="n">
        <v>2023</v>
      </c>
      <c r="E13" s="6" t="s">
        <v>1940</v>
      </c>
      <c r="F13" s="6" t="s">
        <v>1941</v>
      </c>
      <c r="G13" s="6" t="n">
        <v>1971</v>
      </c>
      <c r="H13" s="6"/>
      <c r="I13" s="6"/>
      <c r="J13" s="6"/>
      <c r="K13" s="6" t="s">
        <v>44</v>
      </c>
      <c r="L13" s="6" t="s">
        <v>1900</v>
      </c>
      <c r="M13" s="6" t="s">
        <v>1942</v>
      </c>
    </row>
    <row r="14" customFormat="false" ht="46.25" hidden="false" customHeight="false" outlineLevel="0" collapsed="false">
      <c r="A14" s="6" t="s">
        <v>107</v>
      </c>
      <c r="B14" s="6" t="s">
        <v>108</v>
      </c>
      <c r="C14" s="6" t="s">
        <v>363</v>
      </c>
      <c r="D14" s="6" t="n">
        <v>2011</v>
      </c>
      <c r="E14" s="6" t="s">
        <v>1943</v>
      </c>
      <c r="F14" s="6" t="s">
        <v>1944</v>
      </c>
      <c r="G14" s="6" t="n">
        <v>1988</v>
      </c>
      <c r="H14" s="6"/>
      <c r="I14" s="6"/>
      <c r="J14" s="6"/>
      <c r="K14" s="6" t="s">
        <v>44</v>
      </c>
      <c r="L14" s="6" t="s">
        <v>1900</v>
      </c>
      <c r="M14" s="6" t="s">
        <v>1945</v>
      </c>
    </row>
    <row r="15" customFormat="false" ht="57.45" hidden="false" customHeight="false" outlineLevel="0" collapsed="false">
      <c r="A15" s="6" t="s">
        <v>111</v>
      </c>
      <c r="B15" s="6" t="s">
        <v>112</v>
      </c>
      <c r="C15" s="6" t="s">
        <v>374</v>
      </c>
      <c r="D15" s="6" t="n">
        <v>2021</v>
      </c>
      <c r="E15" s="6" t="s">
        <v>1946</v>
      </c>
      <c r="F15" s="6" t="s">
        <v>1947</v>
      </c>
      <c r="G15" s="6" t="n">
        <v>1979</v>
      </c>
      <c r="H15" s="6"/>
      <c r="I15" s="6"/>
      <c r="J15" s="6"/>
      <c r="K15" s="6" t="s">
        <v>44</v>
      </c>
      <c r="L15" s="6" t="s">
        <v>1900</v>
      </c>
      <c r="M15" s="6" t="s">
        <v>1948</v>
      </c>
    </row>
    <row r="16" customFormat="false" ht="68.65" hidden="false" customHeight="false" outlineLevel="0" collapsed="false">
      <c r="A16" s="6" t="s">
        <v>117</v>
      </c>
      <c r="B16" s="6" t="s">
        <v>118</v>
      </c>
      <c r="C16" s="6" t="s">
        <v>1949</v>
      </c>
      <c r="D16" s="6" t="n">
        <v>2025</v>
      </c>
      <c r="E16" s="6" t="s">
        <v>1950</v>
      </c>
      <c r="F16" s="6" t="s">
        <v>1934</v>
      </c>
      <c r="G16" s="6" t="n">
        <v>2016</v>
      </c>
      <c r="H16" s="6"/>
      <c r="I16" s="6"/>
      <c r="J16" s="6"/>
      <c r="K16" s="6" t="s">
        <v>44</v>
      </c>
      <c r="L16" s="6" t="s">
        <v>1900</v>
      </c>
      <c r="M16" s="6" t="s">
        <v>1951</v>
      </c>
    </row>
    <row r="17" customFormat="false" ht="68.65" hidden="false" customHeight="false" outlineLevel="0" collapsed="false">
      <c r="A17" s="6" t="s">
        <v>121</v>
      </c>
      <c r="B17" s="6" t="s">
        <v>122</v>
      </c>
      <c r="C17" s="6" t="s">
        <v>395</v>
      </c>
      <c r="D17" s="6" t="n">
        <v>2019</v>
      </c>
      <c r="E17" s="6" t="s">
        <v>1952</v>
      </c>
      <c r="F17" s="6" t="s">
        <v>1953</v>
      </c>
      <c r="G17" s="6" t="n">
        <v>1980</v>
      </c>
      <c r="H17" s="6"/>
      <c r="I17" s="6"/>
      <c r="J17" s="6"/>
      <c r="K17" s="6" t="s">
        <v>44</v>
      </c>
      <c r="L17" s="6" t="s">
        <v>1900</v>
      </c>
      <c r="M17" s="6" t="s">
        <v>1954</v>
      </c>
    </row>
    <row r="18" customFormat="false" ht="57.45" hidden="false" customHeight="false" outlineLevel="0" collapsed="false">
      <c r="A18" s="6" t="s">
        <v>124</v>
      </c>
      <c r="B18" s="6" t="s">
        <v>125</v>
      </c>
      <c r="C18" s="6" t="s">
        <v>1955</v>
      </c>
      <c r="D18" s="6" t="n">
        <v>2026</v>
      </c>
      <c r="E18" s="6" t="s">
        <v>1956</v>
      </c>
      <c r="F18" s="6" t="s">
        <v>1957</v>
      </c>
      <c r="G18" s="6" t="n">
        <v>1972</v>
      </c>
      <c r="H18" s="6"/>
      <c r="I18" s="6"/>
      <c r="J18" s="6"/>
      <c r="K18" s="6" t="s">
        <v>44</v>
      </c>
      <c r="L18" s="6" t="s">
        <v>1900</v>
      </c>
      <c r="M18" s="6" t="s">
        <v>1958</v>
      </c>
    </row>
    <row r="19" customFormat="false" ht="91" hidden="false" customHeight="false" outlineLevel="0" collapsed="false">
      <c r="A19" s="6" t="s">
        <v>127</v>
      </c>
      <c r="B19" s="6" t="s">
        <v>128</v>
      </c>
      <c r="C19" s="6" t="s">
        <v>1959</v>
      </c>
      <c r="D19" s="6" t="n">
        <v>2021</v>
      </c>
      <c r="E19" s="6" t="s">
        <v>1960</v>
      </c>
      <c r="F19" s="6" t="s">
        <v>1961</v>
      </c>
      <c r="G19" s="6" t="n">
        <v>2005</v>
      </c>
      <c r="H19" s="6"/>
      <c r="I19" s="6"/>
      <c r="J19" s="6"/>
      <c r="K19" s="6" t="s">
        <v>44</v>
      </c>
      <c r="L19" s="6" t="s">
        <v>1900</v>
      </c>
      <c r="M19" s="6" t="s">
        <v>1962</v>
      </c>
    </row>
    <row r="20" customFormat="false" ht="68.65" hidden="false" customHeight="false" outlineLevel="0" collapsed="false">
      <c r="A20" s="6" t="s">
        <v>131</v>
      </c>
      <c r="B20" s="6" t="s">
        <v>132</v>
      </c>
      <c r="C20" s="6" t="s">
        <v>1963</v>
      </c>
      <c r="D20" s="6" t="n">
        <v>2012</v>
      </c>
      <c r="E20" s="6" t="s">
        <v>1964</v>
      </c>
      <c r="F20" s="6" t="s">
        <v>1965</v>
      </c>
      <c r="G20" s="6" t="n">
        <v>1970</v>
      </c>
      <c r="H20" s="6"/>
      <c r="I20" s="6"/>
      <c r="J20" s="6"/>
      <c r="K20" s="6" t="s">
        <v>44</v>
      </c>
      <c r="L20" s="6" t="s">
        <v>1900</v>
      </c>
      <c r="M20" s="6" t="s">
        <v>1966</v>
      </c>
    </row>
    <row r="21" customFormat="false" ht="113.4" hidden="false" customHeight="false" outlineLevel="0" collapsed="false">
      <c r="A21" s="6" t="s">
        <v>136</v>
      </c>
      <c r="B21" s="6" t="s">
        <v>137</v>
      </c>
      <c r="C21" s="6" t="s">
        <v>1967</v>
      </c>
      <c r="D21" s="6" t="n">
        <v>2020</v>
      </c>
      <c r="E21" s="6" t="s">
        <v>1968</v>
      </c>
      <c r="F21" s="6" t="s">
        <v>1969</v>
      </c>
      <c r="G21" s="6"/>
      <c r="H21" s="6"/>
      <c r="I21" s="6"/>
      <c r="J21" s="6"/>
      <c r="K21" s="6" t="s">
        <v>44</v>
      </c>
      <c r="L21" s="6" t="s">
        <v>1900</v>
      </c>
      <c r="M21" s="6" t="s">
        <v>1970</v>
      </c>
    </row>
    <row r="22" customFormat="false" ht="68.65" hidden="false" customHeight="false" outlineLevel="0" collapsed="false">
      <c r="A22" s="6" t="s">
        <v>140</v>
      </c>
      <c r="B22" s="6" t="s">
        <v>141</v>
      </c>
      <c r="C22" s="6" t="s">
        <v>1971</v>
      </c>
      <c r="D22" s="6" t="n">
        <v>2013</v>
      </c>
      <c r="E22" s="6" t="s">
        <v>1972</v>
      </c>
      <c r="F22" s="6"/>
      <c r="G22" s="6" t="n">
        <v>1975</v>
      </c>
      <c r="H22" s="6"/>
      <c r="I22" s="6"/>
      <c r="J22" s="6"/>
      <c r="K22" s="6" t="s">
        <v>44</v>
      </c>
      <c r="L22" s="6" t="s">
        <v>1900</v>
      </c>
      <c r="M22" s="6" t="s">
        <v>1973</v>
      </c>
    </row>
    <row r="23" customFormat="false" ht="35.05" hidden="false" customHeight="false" outlineLevel="0" collapsed="false">
      <c r="A23" s="6" t="s">
        <v>143</v>
      </c>
      <c r="B23" s="6" t="s">
        <v>144</v>
      </c>
      <c r="C23" s="6" t="s">
        <v>1974</v>
      </c>
      <c r="D23" s="6" t="n">
        <v>2018</v>
      </c>
      <c r="E23" s="6" t="s">
        <v>1975</v>
      </c>
      <c r="F23" s="6" t="s">
        <v>1976</v>
      </c>
      <c r="G23" s="6" t="n">
        <v>1981</v>
      </c>
      <c r="H23" s="6"/>
      <c r="I23" s="6"/>
      <c r="J23" s="6"/>
      <c r="K23" s="6" t="s">
        <v>44</v>
      </c>
      <c r="L23" s="6" t="s">
        <v>1900</v>
      </c>
      <c r="M23" s="6" t="s">
        <v>1977</v>
      </c>
    </row>
    <row r="24" customFormat="false" ht="57.45" hidden="false" customHeight="false" outlineLevel="0" collapsed="false">
      <c r="A24" s="6" t="s">
        <v>146</v>
      </c>
      <c r="B24" s="6" t="s">
        <v>147</v>
      </c>
      <c r="C24" s="6" t="s">
        <v>1978</v>
      </c>
      <c r="D24" s="6" t="n">
        <v>2023</v>
      </c>
      <c r="E24" s="6" t="s">
        <v>1979</v>
      </c>
      <c r="F24" s="6" t="s">
        <v>1980</v>
      </c>
      <c r="G24" s="6" t="n">
        <v>2018</v>
      </c>
      <c r="H24" s="6"/>
      <c r="I24" s="6"/>
      <c r="J24" s="6"/>
      <c r="K24" s="6" t="s">
        <v>44</v>
      </c>
      <c r="L24" s="6" t="s">
        <v>1900</v>
      </c>
      <c r="M24" s="6" t="s">
        <v>1981</v>
      </c>
    </row>
    <row r="25" customFormat="false" ht="35.05" hidden="false" customHeight="false" outlineLevel="0" collapsed="false">
      <c r="A25" s="6" t="s">
        <v>150</v>
      </c>
      <c r="B25" s="6" t="s">
        <v>151</v>
      </c>
      <c r="C25" s="6" t="s">
        <v>461</v>
      </c>
      <c r="D25" s="6" t="n">
        <v>2023</v>
      </c>
      <c r="E25" s="6" t="s">
        <v>1982</v>
      </c>
      <c r="F25" s="6" t="s">
        <v>1983</v>
      </c>
      <c r="G25" s="6" t="n">
        <v>2001</v>
      </c>
      <c r="H25" s="6"/>
      <c r="I25" s="6"/>
      <c r="J25" s="6"/>
      <c r="K25" s="6" t="s">
        <v>44</v>
      </c>
      <c r="L25" s="6" t="s">
        <v>1900</v>
      </c>
      <c r="M25" s="6" t="s">
        <v>1984</v>
      </c>
    </row>
    <row r="26" customFormat="false" ht="68.65" hidden="false" customHeight="false" outlineLevel="0" collapsed="false">
      <c r="A26" s="6" t="s">
        <v>154</v>
      </c>
      <c r="B26" s="6" t="s">
        <v>155</v>
      </c>
      <c r="C26" s="6" t="s">
        <v>1985</v>
      </c>
      <c r="D26" s="6" t="n">
        <v>2021</v>
      </c>
      <c r="E26" s="6" t="s">
        <v>1986</v>
      </c>
      <c r="F26" s="6" t="s">
        <v>1987</v>
      </c>
      <c r="G26" s="6" t="n">
        <v>1970</v>
      </c>
      <c r="H26" s="6"/>
      <c r="I26" s="6"/>
      <c r="J26" s="6"/>
      <c r="K26" s="6" t="s">
        <v>44</v>
      </c>
      <c r="L26" s="6" t="s">
        <v>1900</v>
      </c>
      <c r="M26" s="6" t="s">
        <v>1988</v>
      </c>
    </row>
    <row r="27" customFormat="false" ht="68.65" hidden="false" customHeight="false" outlineLevel="0" collapsed="false">
      <c r="A27" s="6" t="s">
        <v>158</v>
      </c>
      <c r="B27" s="6" t="s">
        <v>159</v>
      </c>
      <c r="C27" s="6" t="s">
        <v>476</v>
      </c>
      <c r="D27" s="6" t="n">
        <v>2025</v>
      </c>
      <c r="E27" s="6" t="s">
        <v>1989</v>
      </c>
      <c r="F27" s="6" t="s">
        <v>1990</v>
      </c>
      <c r="G27" s="6" t="n">
        <v>2019</v>
      </c>
      <c r="H27" s="6"/>
      <c r="I27" s="6"/>
      <c r="J27" s="6"/>
      <c r="K27" s="6" t="s">
        <v>44</v>
      </c>
      <c r="L27" s="6" t="s">
        <v>1900</v>
      </c>
      <c r="M27" s="6" t="s">
        <v>1991</v>
      </c>
    </row>
    <row r="28" customFormat="false" ht="57.45" hidden="false" customHeight="false" outlineLevel="0" collapsed="false">
      <c r="A28" s="6" t="s">
        <v>162</v>
      </c>
      <c r="B28" s="6" t="s">
        <v>163</v>
      </c>
      <c r="C28" s="6" t="s">
        <v>483</v>
      </c>
      <c r="D28" s="6" t="n">
        <v>2025</v>
      </c>
      <c r="E28" s="6" t="s">
        <v>1992</v>
      </c>
      <c r="F28" s="6" t="s">
        <v>1934</v>
      </c>
      <c r="G28" s="6" t="n">
        <v>1973</v>
      </c>
      <c r="H28" s="6"/>
      <c r="I28" s="6"/>
      <c r="J28" s="6"/>
      <c r="K28" s="6" t="s">
        <v>44</v>
      </c>
      <c r="L28" s="6" t="s">
        <v>1900</v>
      </c>
      <c r="M28" s="6" t="s">
        <v>1993</v>
      </c>
    </row>
    <row r="29" customFormat="false" ht="57.45" hidden="false" customHeight="false" outlineLevel="0" collapsed="false">
      <c r="A29" s="6" t="s">
        <v>164</v>
      </c>
      <c r="B29" s="6" t="s">
        <v>165</v>
      </c>
      <c r="C29" s="6" t="s">
        <v>491</v>
      </c>
      <c r="D29" s="6" t="n">
        <v>2025</v>
      </c>
      <c r="E29" s="6" t="s">
        <v>1994</v>
      </c>
      <c r="F29" s="6" t="s">
        <v>1995</v>
      </c>
      <c r="G29" s="6" t="n">
        <v>2013</v>
      </c>
      <c r="H29" s="6"/>
      <c r="I29" s="6"/>
      <c r="J29" s="6"/>
      <c r="K29" s="6" t="s">
        <v>44</v>
      </c>
      <c r="L29" s="6" t="s">
        <v>1900</v>
      </c>
      <c r="M29" s="6" t="s">
        <v>1996</v>
      </c>
    </row>
    <row r="30" customFormat="false" ht="79.85" hidden="false" customHeight="false" outlineLevel="0" collapsed="false">
      <c r="A30" s="6" t="s">
        <v>168</v>
      </c>
      <c r="B30" s="6" t="s">
        <v>169</v>
      </c>
      <c r="C30" s="6" t="s">
        <v>502</v>
      </c>
      <c r="D30" s="6" t="n">
        <v>2025</v>
      </c>
      <c r="E30" s="6" t="s">
        <v>1997</v>
      </c>
      <c r="F30" s="6" t="s">
        <v>1998</v>
      </c>
      <c r="G30" s="6" t="n">
        <v>1984</v>
      </c>
      <c r="H30" s="6" t="s">
        <v>1922</v>
      </c>
      <c r="I30" s="6" t="s">
        <v>1999</v>
      </c>
      <c r="J30" s="6" t="s">
        <v>2000</v>
      </c>
      <c r="K30" s="6" t="s">
        <v>44</v>
      </c>
      <c r="L30" s="6" t="s">
        <v>1900</v>
      </c>
      <c r="M30" s="6" t="s">
        <v>2001</v>
      </c>
    </row>
    <row r="31" customFormat="false" ht="35.05" hidden="false" customHeight="false" outlineLevel="0" collapsed="false">
      <c r="A31" s="6" t="s">
        <v>172</v>
      </c>
      <c r="B31" s="6" t="s">
        <v>173</v>
      </c>
      <c r="C31" s="6" t="s">
        <v>2002</v>
      </c>
      <c r="D31" s="6" t="n">
        <v>2013</v>
      </c>
      <c r="E31" s="6" t="s">
        <v>2003</v>
      </c>
      <c r="F31" s="6" t="s">
        <v>2004</v>
      </c>
      <c r="G31" s="6" t="n">
        <v>1981</v>
      </c>
      <c r="H31" s="6"/>
      <c r="I31" s="6"/>
      <c r="J31" s="6"/>
      <c r="K31" s="6" t="s">
        <v>44</v>
      </c>
      <c r="L31" s="6" t="s">
        <v>1900</v>
      </c>
      <c r="M31" s="6" t="s">
        <v>2005</v>
      </c>
    </row>
    <row r="32" customFormat="false" ht="57.45" hidden="false" customHeight="false" outlineLevel="0" collapsed="false">
      <c r="A32" s="6" t="s">
        <v>176</v>
      </c>
      <c r="B32" s="6" t="s">
        <v>177</v>
      </c>
      <c r="C32" s="6" t="s">
        <v>2006</v>
      </c>
      <c r="D32" s="6" t="n">
        <v>2025</v>
      </c>
      <c r="E32" s="6" t="s">
        <v>2007</v>
      </c>
      <c r="F32" s="6" t="s">
        <v>2008</v>
      </c>
      <c r="G32" s="6" t="n">
        <v>1977</v>
      </c>
      <c r="H32" s="6"/>
      <c r="I32" s="6"/>
      <c r="J32" s="6"/>
      <c r="K32" s="6" t="s">
        <v>44</v>
      </c>
      <c r="L32" s="6" t="s">
        <v>1900</v>
      </c>
      <c r="M32" s="6" t="s">
        <v>2009</v>
      </c>
    </row>
    <row r="33" customFormat="false" ht="57.45" hidden="false" customHeight="false" outlineLevel="0" collapsed="false">
      <c r="A33" s="6" t="s">
        <v>180</v>
      </c>
      <c r="B33" s="6" t="s">
        <v>181</v>
      </c>
      <c r="C33" s="6" t="s">
        <v>2010</v>
      </c>
      <c r="D33" s="6" t="n">
        <v>2018</v>
      </c>
      <c r="E33" s="6" t="s">
        <v>2011</v>
      </c>
      <c r="F33" s="6" t="s">
        <v>2012</v>
      </c>
      <c r="G33" s="6" t="n">
        <v>1973</v>
      </c>
      <c r="H33" s="6"/>
      <c r="I33" s="6"/>
      <c r="J33" s="6"/>
      <c r="K33" s="6" t="s">
        <v>44</v>
      </c>
      <c r="L33" s="6" t="s">
        <v>1900</v>
      </c>
      <c r="M33" s="6" t="s">
        <v>2013</v>
      </c>
    </row>
    <row r="34" customFormat="false" ht="57.45" hidden="false" customHeight="false" outlineLevel="0" collapsed="false">
      <c r="A34" s="6" t="s">
        <v>184</v>
      </c>
      <c r="B34" s="6" t="s">
        <v>185</v>
      </c>
      <c r="C34" s="6" t="s">
        <v>2014</v>
      </c>
      <c r="D34" s="6" t="n">
        <v>2017</v>
      </c>
      <c r="E34" s="6" t="s">
        <v>2015</v>
      </c>
      <c r="F34" s="6" t="s">
        <v>2016</v>
      </c>
      <c r="G34" s="6" t="n">
        <v>1977</v>
      </c>
      <c r="H34" s="6"/>
      <c r="I34" s="6"/>
      <c r="J34" s="6"/>
      <c r="K34" s="6" t="s">
        <v>44</v>
      </c>
      <c r="L34" s="6" t="s">
        <v>1900</v>
      </c>
      <c r="M34" s="6" t="s">
        <v>2017</v>
      </c>
    </row>
    <row r="35" customFormat="false" ht="57.45" hidden="false" customHeight="false" outlineLevel="0" collapsed="false">
      <c r="A35" s="6" t="s">
        <v>187</v>
      </c>
      <c r="B35" s="6" t="s">
        <v>188</v>
      </c>
      <c r="C35" s="6" t="s">
        <v>2018</v>
      </c>
      <c r="D35" s="6" t="n">
        <v>2024</v>
      </c>
      <c r="E35" s="6" t="s">
        <v>2019</v>
      </c>
      <c r="F35" s="6" t="s">
        <v>2020</v>
      </c>
      <c r="G35" s="6"/>
      <c r="H35" s="6"/>
      <c r="I35" s="6"/>
      <c r="J35" s="6"/>
      <c r="K35" s="6" t="s">
        <v>44</v>
      </c>
      <c r="L35" s="6" t="s">
        <v>1900</v>
      </c>
      <c r="M35" s="6" t="s">
        <v>2021</v>
      </c>
    </row>
    <row r="36" customFormat="false" ht="79.85" hidden="false" customHeight="false" outlineLevel="0" collapsed="false">
      <c r="A36" s="6" t="s">
        <v>191</v>
      </c>
      <c r="B36" s="6" t="s">
        <v>192</v>
      </c>
      <c r="C36" s="6" t="s">
        <v>547</v>
      </c>
      <c r="D36" s="6" t="n">
        <v>2025</v>
      </c>
      <c r="E36" s="6" t="s">
        <v>2022</v>
      </c>
      <c r="F36" s="6" t="s">
        <v>2023</v>
      </c>
      <c r="G36" s="6" t="n">
        <v>1980</v>
      </c>
      <c r="H36" s="6"/>
      <c r="I36" s="6"/>
      <c r="J36" s="6"/>
      <c r="K36" s="6" t="s">
        <v>44</v>
      </c>
      <c r="L36" s="6" t="s">
        <v>1900</v>
      </c>
      <c r="M36" s="6" t="s">
        <v>2024</v>
      </c>
    </row>
    <row r="37" customFormat="false" ht="68.65" hidden="false" customHeight="false" outlineLevel="0" collapsed="false">
      <c r="A37" s="6" t="s">
        <v>195</v>
      </c>
      <c r="B37" s="6" t="s">
        <v>196</v>
      </c>
      <c r="C37" s="6" t="s">
        <v>2025</v>
      </c>
      <c r="D37" s="6" t="n">
        <v>2025</v>
      </c>
      <c r="E37" s="6" t="s">
        <v>2026</v>
      </c>
      <c r="F37" s="6" t="s">
        <v>2027</v>
      </c>
      <c r="G37" s="6"/>
      <c r="H37" s="6"/>
      <c r="I37" s="6"/>
      <c r="J37" s="6"/>
      <c r="K37" s="6" t="s">
        <v>44</v>
      </c>
      <c r="L37" s="6" t="s">
        <v>1900</v>
      </c>
      <c r="M37" s="6" t="s">
        <v>2028</v>
      </c>
    </row>
    <row r="38" customFormat="false" ht="57.45" hidden="false" customHeight="false" outlineLevel="0" collapsed="false">
      <c r="A38" s="6" t="s">
        <v>199</v>
      </c>
      <c r="B38" s="6" t="s">
        <v>200</v>
      </c>
      <c r="C38" s="6" t="s">
        <v>562</v>
      </c>
      <c r="D38" s="6" t="n">
        <v>2025</v>
      </c>
      <c r="E38" s="6" t="s">
        <v>2029</v>
      </c>
      <c r="F38" s="6" t="s">
        <v>2030</v>
      </c>
      <c r="G38" s="6" t="n">
        <v>1991</v>
      </c>
      <c r="H38" s="6"/>
      <c r="I38" s="6"/>
      <c r="J38" s="6"/>
      <c r="K38" s="6" t="s">
        <v>44</v>
      </c>
      <c r="L38" s="6" t="s">
        <v>1900</v>
      </c>
      <c r="M38" s="6" t="s">
        <v>2031</v>
      </c>
    </row>
    <row r="39" customFormat="false" ht="68.65" hidden="false" customHeight="false" outlineLevel="0" collapsed="false">
      <c r="A39" s="6" t="s">
        <v>203</v>
      </c>
      <c r="B39" s="6" t="s">
        <v>204</v>
      </c>
      <c r="C39" s="6" t="s">
        <v>2032</v>
      </c>
      <c r="D39" s="6" t="n">
        <v>2018</v>
      </c>
      <c r="E39" s="6" t="s">
        <v>2033</v>
      </c>
      <c r="F39" s="6" t="s">
        <v>2034</v>
      </c>
      <c r="G39" s="6" t="n">
        <v>1983</v>
      </c>
      <c r="H39" s="6"/>
      <c r="I39" s="6"/>
      <c r="J39" s="6"/>
      <c r="K39" s="6" t="s">
        <v>44</v>
      </c>
      <c r="L39" s="6" t="s">
        <v>1900</v>
      </c>
      <c r="M39" s="6" t="s">
        <v>2035</v>
      </c>
    </row>
    <row r="40" customFormat="false" ht="68.65" hidden="false" customHeight="false" outlineLevel="0" collapsed="false">
      <c r="A40" s="6" t="s">
        <v>207</v>
      </c>
      <c r="B40" s="6" t="s">
        <v>208</v>
      </c>
      <c r="C40" s="6" t="s">
        <v>2036</v>
      </c>
      <c r="D40" s="6" t="n">
        <v>2018</v>
      </c>
      <c r="E40" s="6" t="s">
        <v>2037</v>
      </c>
      <c r="F40" s="6" t="s">
        <v>2038</v>
      </c>
      <c r="G40" s="6" t="n">
        <v>1974</v>
      </c>
      <c r="H40" s="6" t="s">
        <v>1922</v>
      </c>
      <c r="I40" s="6" t="s">
        <v>2039</v>
      </c>
      <c r="J40" s="6" t="s">
        <v>2040</v>
      </c>
      <c r="K40" s="6" t="s">
        <v>44</v>
      </c>
      <c r="L40" s="6" t="s">
        <v>1900</v>
      </c>
      <c r="M40" s="6" t="s">
        <v>2041</v>
      </c>
    </row>
    <row r="41" customFormat="false" ht="57.45" hidden="false" customHeight="false" outlineLevel="0" collapsed="false">
      <c r="A41" s="6" t="s">
        <v>212</v>
      </c>
      <c r="B41" s="6" t="s">
        <v>213</v>
      </c>
      <c r="C41" s="6" t="s">
        <v>591</v>
      </c>
      <c r="D41" s="6" t="n">
        <v>2021</v>
      </c>
      <c r="E41" s="6" t="s">
        <v>2042</v>
      </c>
      <c r="F41" s="6" t="s">
        <v>2043</v>
      </c>
      <c r="G41" s="6" t="n">
        <v>1972</v>
      </c>
      <c r="H41" s="6"/>
      <c r="I41" s="6"/>
      <c r="J41" s="6"/>
      <c r="K41" s="6" t="s">
        <v>44</v>
      </c>
      <c r="L41" s="6" t="s">
        <v>1900</v>
      </c>
      <c r="M41" s="6" t="s">
        <v>2044</v>
      </c>
    </row>
    <row r="42" customFormat="false" ht="57.45" hidden="false" customHeight="false" outlineLevel="0" collapsed="false">
      <c r="A42" s="6" t="s">
        <v>216</v>
      </c>
      <c r="B42" s="6" t="s">
        <v>217</v>
      </c>
      <c r="C42" s="6" t="s">
        <v>598</v>
      </c>
      <c r="D42" s="6" t="n">
        <v>2023</v>
      </c>
      <c r="E42" s="6" t="s">
        <v>2045</v>
      </c>
      <c r="F42" s="6" t="s">
        <v>1941</v>
      </c>
      <c r="G42" s="6" t="n">
        <v>1986</v>
      </c>
      <c r="H42" s="6"/>
      <c r="I42" s="6"/>
      <c r="J42" s="6"/>
      <c r="K42" s="6" t="s">
        <v>44</v>
      </c>
      <c r="L42" s="6" t="s">
        <v>1900</v>
      </c>
      <c r="M42" s="6" t="s">
        <v>2046</v>
      </c>
    </row>
    <row r="43" customFormat="false" ht="68.65" hidden="false" customHeight="false" outlineLevel="0" collapsed="false">
      <c r="A43" s="6" t="s">
        <v>218</v>
      </c>
      <c r="B43" s="6" t="s">
        <v>219</v>
      </c>
      <c r="C43" s="6" t="s">
        <v>606</v>
      </c>
      <c r="D43" s="6" t="n">
        <v>2021</v>
      </c>
      <c r="E43" s="6" t="s">
        <v>2047</v>
      </c>
      <c r="F43" s="6" t="s">
        <v>1987</v>
      </c>
      <c r="G43" s="6" t="n">
        <v>1977</v>
      </c>
      <c r="H43" s="6"/>
      <c r="I43" s="6"/>
      <c r="J43" s="6"/>
      <c r="K43" s="6" t="s">
        <v>44</v>
      </c>
      <c r="L43" s="6" t="s">
        <v>1900</v>
      </c>
      <c r="M43" s="6" t="s">
        <v>2048</v>
      </c>
    </row>
    <row r="44" customFormat="false" ht="46.25" hidden="false" customHeight="false" outlineLevel="0" collapsed="false">
      <c r="A44" s="6" t="s">
        <v>220</v>
      </c>
      <c r="B44" s="6" t="s">
        <v>221</v>
      </c>
      <c r="C44" s="6" t="s">
        <v>2049</v>
      </c>
      <c r="D44" s="6" t="n">
        <v>2001</v>
      </c>
      <c r="E44" s="6" t="s">
        <v>2050</v>
      </c>
      <c r="F44" s="6" t="s">
        <v>2051</v>
      </c>
      <c r="G44" s="6" t="n">
        <v>2001</v>
      </c>
      <c r="H44" s="6"/>
      <c r="I44" s="6"/>
      <c r="J44" s="6"/>
      <c r="K44" s="6" t="s">
        <v>44</v>
      </c>
      <c r="L44" s="6" t="s">
        <v>1900</v>
      </c>
      <c r="M44" s="6" t="s">
        <v>2052</v>
      </c>
    </row>
    <row r="45" customFormat="false" ht="46.25" hidden="false" customHeight="false" outlineLevel="0" collapsed="false">
      <c r="A45" s="6" t="s">
        <v>226</v>
      </c>
      <c r="B45" s="6" t="s">
        <v>227</v>
      </c>
      <c r="C45" s="6" t="s">
        <v>626</v>
      </c>
      <c r="D45" s="6" t="n">
        <v>2023</v>
      </c>
      <c r="E45" s="6" t="s">
        <v>2053</v>
      </c>
      <c r="F45" s="6" t="s">
        <v>2054</v>
      </c>
      <c r="G45" s="6"/>
      <c r="H45" s="6"/>
      <c r="I45" s="6"/>
      <c r="J45" s="6"/>
      <c r="K45" s="6" t="s">
        <v>44</v>
      </c>
      <c r="L45" s="6" t="s">
        <v>1900</v>
      </c>
      <c r="M45" s="6" t="s">
        <v>2055</v>
      </c>
    </row>
    <row r="46" customFormat="false" ht="46.25" hidden="false" customHeight="false" outlineLevel="0" collapsed="false">
      <c r="A46" s="6" t="s">
        <v>230</v>
      </c>
      <c r="B46" s="6" t="s">
        <v>231</v>
      </c>
      <c r="C46" s="6" t="s">
        <v>635</v>
      </c>
      <c r="D46" s="6" t="n">
        <v>2025</v>
      </c>
      <c r="E46" s="6" t="s">
        <v>2056</v>
      </c>
      <c r="F46" s="6" t="s">
        <v>1934</v>
      </c>
      <c r="G46" s="6" t="n">
        <v>1988</v>
      </c>
      <c r="H46" s="6"/>
      <c r="I46" s="6"/>
      <c r="J46" s="6"/>
      <c r="K46" s="6" t="s">
        <v>44</v>
      </c>
      <c r="L46" s="6" t="s">
        <v>1900</v>
      </c>
      <c r="M46" s="6" t="s">
        <v>2057</v>
      </c>
    </row>
    <row r="47" customFormat="false" ht="35.05" hidden="false" customHeight="false" outlineLevel="0" collapsed="false">
      <c r="A47" s="6" t="s">
        <v>233</v>
      </c>
      <c r="B47" s="6" t="s">
        <v>234</v>
      </c>
      <c r="C47" s="6" t="s">
        <v>2058</v>
      </c>
      <c r="D47" s="6" t="n">
        <v>2021</v>
      </c>
      <c r="E47" s="6" t="s">
        <v>2059</v>
      </c>
      <c r="F47" s="6" t="s">
        <v>2060</v>
      </c>
      <c r="G47" s="6" t="n">
        <v>1982</v>
      </c>
      <c r="H47" s="6"/>
      <c r="I47" s="6"/>
      <c r="J47" s="6"/>
      <c r="K47" s="6" t="s">
        <v>44</v>
      </c>
      <c r="L47" s="6" t="s">
        <v>1900</v>
      </c>
      <c r="M47" s="6" t="s">
        <v>2061</v>
      </c>
    </row>
    <row r="48" customFormat="false" ht="46.25" hidden="false" customHeight="false" outlineLevel="0" collapsed="false">
      <c r="A48" s="6" t="s">
        <v>236</v>
      </c>
      <c r="B48" s="6" t="s">
        <v>237</v>
      </c>
      <c r="C48" s="6" t="s">
        <v>2062</v>
      </c>
      <c r="D48" s="6" t="n">
        <v>2014</v>
      </c>
      <c r="E48" s="6" t="s">
        <v>2063</v>
      </c>
      <c r="F48" s="6" t="s">
        <v>2064</v>
      </c>
      <c r="G48" s="6" t="n">
        <v>1998</v>
      </c>
      <c r="H48" s="6"/>
      <c r="I48" s="6"/>
      <c r="J48" s="6"/>
      <c r="K48" s="6" t="s">
        <v>44</v>
      </c>
      <c r="L48" s="6" t="s">
        <v>1900</v>
      </c>
      <c r="M48" s="6" t="s">
        <v>2065</v>
      </c>
    </row>
    <row r="49" customFormat="false" ht="46.25" hidden="false" customHeight="false" outlineLevel="0" collapsed="false">
      <c r="A49" s="6" t="s">
        <v>240</v>
      </c>
      <c r="B49" s="6" t="s">
        <v>241</v>
      </c>
      <c r="C49" s="6" t="s">
        <v>660</v>
      </c>
      <c r="D49" s="6" t="n">
        <v>2018</v>
      </c>
      <c r="E49" s="6" t="s">
        <v>2066</v>
      </c>
      <c r="F49" s="6" t="s">
        <v>2067</v>
      </c>
      <c r="G49" s="6" t="n">
        <v>1999</v>
      </c>
      <c r="H49" s="6"/>
      <c r="I49" s="6"/>
      <c r="J49" s="6"/>
      <c r="K49" s="6" t="s">
        <v>44</v>
      </c>
      <c r="L49" s="6" t="s">
        <v>1900</v>
      </c>
      <c r="M49" s="6" t="s">
        <v>2068</v>
      </c>
    </row>
    <row r="50" customFormat="false" ht="46.25" hidden="false" customHeight="false" outlineLevel="0" collapsed="false">
      <c r="A50" s="6" t="s">
        <v>245</v>
      </c>
      <c r="B50" s="6" t="s">
        <v>246</v>
      </c>
      <c r="C50" s="6" t="s">
        <v>668</v>
      </c>
      <c r="D50" s="6" t="n">
        <v>2024</v>
      </c>
      <c r="E50" s="6" t="s">
        <v>2069</v>
      </c>
      <c r="F50" s="6" t="s">
        <v>2070</v>
      </c>
      <c r="G50" s="6" t="n">
        <v>1990</v>
      </c>
      <c r="H50" s="6"/>
      <c r="I50" s="6"/>
      <c r="J50" s="6"/>
      <c r="K50" s="6" t="s">
        <v>44</v>
      </c>
      <c r="L50" s="6" t="s">
        <v>1900</v>
      </c>
      <c r="M50" s="6" t="s">
        <v>2071</v>
      </c>
    </row>
    <row r="51" customFormat="false" ht="68.65" hidden="false" customHeight="false" outlineLevel="0" collapsed="false">
      <c r="A51" s="6" t="s">
        <v>249</v>
      </c>
      <c r="B51" s="6" t="s">
        <v>250</v>
      </c>
      <c r="C51" s="6" t="s">
        <v>679</v>
      </c>
      <c r="D51" s="6" t="n">
        <v>2025</v>
      </c>
      <c r="E51" s="6" t="s">
        <v>2072</v>
      </c>
      <c r="F51" s="6" t="s">
        <v>1934</v>
      </c>
      <c r="G51" s="6"/>
      <c r="H51" s="6"/>
      <c r="I51" s="6"/>
      <c r="J51" s="6"/>
      <c r="K51" s="6" t="s">
        <v>44</v>
      </c>
      <c r="L51" s="6" t="s">
        <v>1900</v>
      </c>
      <c r="M51" s="6" t="s">
        <v>2073</v>
      </c>
    </row>
  </sheetData>
  <autoFilter ref="A1:M5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40"/>
    <col collapsed="false" customWidth="true" hidden="false" outlineLevel="0" max="3" min="3" style="0" width="16"/>
    <col collapsed="false" customWidth="true" hidden="false" outlineLevel="0" max="4" min="4" style="0" width="7"/>
    <col collapsed="false" customWidth="true" hidden="false" outlineLevel="0" max="5" min="5" style="0" width="30"/>
    <col collapsed="false" customWidth="true" hidden="false" outlineLevel="0" max="6" min="6" style="0" width="12"/>
    <col collapsed="false" customWidth="true" hidden="false" outlineLevel="0" max="7" min="7" style="0" width="40"/>
    <col collapsed="false" customWidth="true" hidden="false" outlineLevel="0" max="8" min="8" style="0" width="60"/>
    <col collapsed="false" customWidth="true" hidden="false" outlineLevel="0" max="10" min="9" style="0" width="40"/>
  </cols>
  <sheetData>
    <row r="1" customFormat="false" ht="31.5" hidden="false" customHeight="true" outlineLevel="0" collapsed="false">
      <c r="A1" s="4" t="s">
        <v>2074</v>
      </c>
      <c r="B1" s="4" t="s">
        <v>2075</v>
      </c>
      <c r="C1" s="4" t="s">
        <v>2076</v>
      </c>
      <c r="D1" s="4" t="s">
        <v>16</v>
      </c>
      <c r="E1" s="4" t="s">
        <v>2077</v>
      </c>
      <c r="F1" s="4" t="s">
        <v>2078</v>
      </c>
      <c r="G1" s="4" t="s">
        <v>253</v>
      </c>
      <c r="H1" s="4" t="s">
        <v>2079</v>
      </c>
      <c r="I1" s="4" t="s">
        <v>2080</v>
      </c>
      <c r="J1" s="4" t="s">
        <v>2081</v>
      </c>
    </row>
    <row r="2" customFormat="false" ht="35.05" hidden="false" customHeight="false" outlineLevel="0" collapsed="false">
      <c r="A2" s="6" t="s">
        <v>44</v>
      </c>
      <c r="B2" s="6" t="s">
        <v>2082</v>
      </c>
      <c r="C2" s="6" t="s">
        <v>2083</v>
      </c>
      <c r="D2" s="6" t="s">
        <v>207</v>
      </c>
      <c r="E2" s="6" t="s">
        <v>2084</v>
      </c>
      <c r="F2" s="6" t="s">
        <v>1922</v>
      </c>
      <c r="G2" s="6" t="s">
        <v>2085</v>
      </c>
      <c r="H2" s="6" t="s">
        <v>2086</v>
      </c>
      <c r="I2" s="6" t="s">
        <v>2087</v>
      </c>
      <c r="J2" s="6" t="s">
        <v>2088</v>
      </c>
    </row>
    <row r="3" customFormat="false" ht="35.05" hidden="false" customHeight="false" outlineLevel="0" collapsed="false">
      <c r="A3" s="6" t="s">
        <v>44</v>
      </c>
      <c r="B3" s="6" t="s">
        <v>2082</v>
      </c>
      <c r="C3" s="6" t="s">
        <v>2083</v>
      </c>
      <c r="D3" s="6" t="s">
        <v>168</v>
      </c>
      <c r="E3" s="6" t="s">
        <v>2089</v>
      </c>
      <c r="F3" s="6" t="s">
        <v>1922</v>
      </c>
      <c r="G3" s="6" t="s">
        <v>2090</v>
      </c>
      <c r="H3" s="6" t="s">
        <v>2091</v>
      </c>
      <c r="I3" s="6" t="s">
        <v>2092</v>
      </c>
      <c r="J3" s="6" t="s">
        <v>2093</v>
      </c>
    </row>
    <row r="4" customFormat="false" ht="35.05" hidden="false" customHeight="false" outlineLevel="0" collapsed="false">
      <c r="A4" s="6" t="s">
        <v>44</v>
      </c>
      <c r="B4" s="6" t="s">
        <v>2082</v>
      </c>
      <c r="C4" s="6" t="s">
        <v>2083</v>
      </c>
      <c r="D4" s="6" t="s">
        <v>77</v>
      </c>
      <c r="E4" s="6" t="s">
        <v>2094</v>
      </c>
      <c r="F4" s="6" t="s">
        <v>1922</v>
      </c>
      <c r="G4" s="6" t="s">
        <v>2095</v>
      </c>
      <c r="H4" s="6" t="s">
        <v>2096</v>
      </c>
      <c r="I4" s="6" t="s">
        <v>2097</v>
      </c>
      <c r="J4" s="6" t="s">
        <v>2098</v>
      </c>
    </row>
    <row r="5" customFormat="false" ht="46.25" hidden="false" customHeight="false" outlineLevel="0" collapsed="false">
      <c r="A5" s="6" t="s">
        <v>44</v>
      </c>
      <c r="B5" s="6" t="s">
        <v>2082</v>
      </c>
      <c r="C5" s="6" t="s">
        <v>2083</v>
      </c>
      <c r="D5" s="6" t="s">
        <v>136</v>
      </c>
      <c r="E5" s="6" t="s">
        <v>2099</v>
      </c>
      <c r="F5" s="6" t="s">
        <v>1922</v>
      </c>
      <c r="G5" s="6" t="s">
        <v>2100</v>
      </c>
      <c r="H5" s="6" t="s">
        <v>2101</v>
      </c>
      <c r="I5" s="6" t="s">
        <v>2102</v>
      </c>
      <c r="J5" s="6" t="s">
        <v>2103</v>
      </c>
    </row>
    <row r="6" customFormat="false" ht="35.05" hidden="false" customHeight="false" outlineLevel="0" collapsed="false">
      <c r="A6" s="6" t="s">
        <v>44</v>
      </c>
      <c r="B6" s="6" t="s">
        <v>2082</v>
      </c>
      <c r="C6" s="6" t="s">
        <v>2104</v>
      </c>
      <c r="D6" s="6" t="s">
        <v>124</v>
      </c>
      <c r="E6" s="6" t="s">
        <v>2105</v>
      </c>
      <c r="F6" s="6" t="s">
        <v>1957</v>
      </c>
      <c r="G6" s="6" t="s">
        <v>2106</v>
      </c>
      <c r="H6" s="6" t="s">
        <v>2107</v>
      </c>
      <c r="I6" s="6" t="s">
        <v>2108</v>
      </c>
      <c r="J6" s="6" t="s">
        <v>2109</v>
      </c>
    </row>
    <row r="7" customFormat="false" ht="46.25" hidden="false" customHeight="false" outlineLevel="0" collapsed="false">
      <c r="A7" s="6" t="s">
        <v>44</v>
      </c>
      <c r="B7" s="6" t="s">
        <v>2082</v>
      </c>
      <c r="C7" s="6" t="s">
        <v>2110</v>
      </c>
      <c r="D7" s="6" t="s">
        <v>203</v>
      </c>
      <c r="E7" s="6" t="s">
        <v>2111</v>
      </c>
      <c r="F7" s="6"/>
      <c r="G7" s="6" t="s">
        <v>2112</v>
      </c>
      <c r="H7" s="6" t="s">
        <v>2113</v>
      </c>
      <c r="I7" s="6" t="s">
        <v>2114</v>
      </c>
      <c r="J7" s="6" t="s">
        <v>2115</v>
      </c>
    </row>
    <row r="8" customFormat="false" ht="57.45" hidden="false" customHeight="false" outlineLevel="0" collapsed="false">
      <c r="A8" s="6" t="s">
        <v>44</v>
      </c>
      <c r="B8" s="6" t="s">
        <v>2082</v>
      </c>
      <c r="C8" s="6" t="s">
        <v>2110</v>
      </c>
      <c r="D8" s="6" t="s">
        <v>187</v>
      </c>
      <c r="E8" s="6" t="s">
        <v>2116</v>
      </c>
      <c r="F8" s="6"/>
      <c r="G8" s="6" t="s">
        <v>2117</v>
      </c>
      <c r="H8" s="6" t="s">
        <v>2118</v>
      </c>
      <c r="I8" s="6" t="s">
        <v>2119</v>
      </c>
      <c r="J8" s="6" t="s">
        <v>2120</v>
      </c>
    </row>
    <row r="9" customFormat="false" ht="68.65" hidden="false" customHeight="false" outlineLevel="0" collapsed="false">
      <c r="A9" s="6" t="s">
        <v>44</v>
      </c>
      <c r="B9" s="6" t="s">
        <v>2082</v>
      </c>
      <c r="C9" s="6" t="s">
        <v>2110</v>
      </c>
      <c r="D9" s="6" t="s">
        <v>111</v>
      </c>
      <c r="E9" s="6" t="s">
        <v>2121</v>
      </c>
      <c r="F9" s="6"/>
      <c r="G9" s="6" t="s">
        <v>2122</v>
      </c>
      <c r="H9" s="6" t="s">
        <v>2123</v>
      </c>
      <c r="I9" s="6" t="s">
        <v>2124</v>
      </c>
      <c r="J9" s="6" t="s">
        <v>2125</v>
      </c>
    </row>
    <row r="10" customFormat="false" ht="35.05" hidden="false" customHeight="false" outlineLevel="0" collapsed="false">
      <c r="A10" s="6" t="s">
        <v>44</v>
      </c>
      <c r="B10" s="6" t="s">
        <v>2082</v>
      </c>
      <c r="C10" s="6" t="s">
        <v>2126</v>
      </c>
      <c r="D10" s="6" t="s">
        <v>131</v>
      </c>
      <c r="E10" s="6" t="s">
        <v>2127</v>
      </c>
      <c r="F10" s="6"/>
      <c r="G10" s="6" t="s">
        <v>2128</v>
      </c>
      <c r="H10" s="6" t="s">
        <v>2129</v>
      </c>
      <c r="I10" s="6" t="s">
        <v>2130</v>
      </c>
      <c r="J10" s="6" t="s">
        <v>2131</v>
      </c>
    </row>
  </sheetData>
  <autoFilter ref="A1:J1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12"/>
    <col collapsed="false" customWidth="true" hidden="false" outlineLevel="0" max="3" min="3" style="0" width="50"/>
    <col collapsed="false" customWidth="true" hidden="false" outlineLevel="0" max="4" min="4" style="0" width="30"/>
    <col collapsed="false" customWidth="true" hidden="false" outlineLevel="0" max="6" min="5" style="0" width="16"/>
    <col collapsed="false" customWidth="true" hidden="false" outlineLevel="0" max="7" min="7" style="0" width="10"/>
    <col collapsed="false" customWidth="true" hidden="false" outlineLevel="0" max="8" min="8" style="0" width="60"/>
    <col collapsed="false" customWidth="true" hidden="false" outlineLevel="0" max="9" min="9" style="0" width="40"/>
  </cols>
  <sheetData>
    <row r="1" customFormat="false" ht="31.5" hidden="false" customHeight="true" outlineLevel="0" collapsed="false">
      <c r="A1" s="4" t="s">
        <v>2132</v>
      </c>
      <c r="B1" s="4" t="s">
        <v>2133</v>
      </c>
      <c r="C1" s="4" t="s">
        <v>2134</v>
      </c>
      <c r="D1" s="4" t="s">
        <v>2135</v>
      </c>
      <c r="E1" s="4" t="s">
        <v>260</v>
      </c>
      <c r="F1" s="4" t="s">
        <v>2136</v>
      </c>
      <c r="G1" s="4" t="s">
        <v>2137</v>
      </c>
      <c r="H1" s="4" t="s">
        <v>2138</v>
      </c>
      <c r="I1" s="4" t="s">
        <v>2139</v>
      </c>
    </row>
    <row r="2" customFormat="false" ht="57.45" hidden="false" customHeight="false" outlineLevel="0" collapsed="false">
      <c r="A2" s="6" t="s">
        <v>2140</v>
      </c>
      <c r="B2" s="6" t="s">
        <v>2141</v>
      </c>
      <c r="C2" s="6" t="s">
        <v>2142</v>
      </c>
      <c r="D2" s="6" t="s">
        <v>2143</v>
      </c>
      <c r="E2" s="6" t="s">
        <v>2144</v>
      </c>
      <c r="F2" s="6" t="s">
        <v>2145</v>
      </c>
      <c r="G2" s="6" t="s">
        <v>77</v>
      </c>
      <c r="H2" s="6" t="s">
        <v>2146</v>
      </c>
      <c r="I2" s="6" t="s">
        <v>2147</v>
      </c>
    </row>
    <row r="3" customFormat="false" ht="57.45" hidden="false" customHeight="false" outlineLevel="0" collapsed="false">
      <c r="A3" s="6" t="s">
        <v>2140</v>
      </c>
      <c r="B3" s="6" t="s">
        <v>2148</v>
      </c>
      <c r="C3" s="6" t="s">
        <v>2149</v>
      </c>
      <c r="D3" s="6" t="s">
        <v>2150</v>
      </c>
      <c r="E3" s="6" t="s">
        <v>2151</v>
      </c>
      <c r="F3" s="6" t="s">
        <v>2152</v>
      </c>
      <c r="G3" s="6" t="s">
        <v>111</v>
      </c>
      <c r="H3" s="6" t="s">
        <v>2153</v>
      </c>
      <c r="I3" s="6" t="s">
        <v>2154</v>
      </c>
    </row>
    <row r="4" customFormat="false" ht="57.45" hidden="false" customHeight="false" outlineLevel="0" collapsed="false">
      <c r="A4" s="6" t="s">
        <v>2140</v>
      </c>
      <c r="B4" s="6" t="s">
        <v>2155</v>
      </c>
      <c r="C4" s="6" t="s">
        <v>2156</v>
      </c>
      <c r="D4" s="6" t="s">
        <v>2157</v>
      </c>
      <c r="E4" s="6" t="s">
        <v>2158</v>
      </c>
      <c r="F4" s="6" t="s">
        <v>2159</v>
      </c>
      <c r="G4" s="6" t="s">
        <v>207</v>
      </c>
      <c r="H4" s="6" t="s">
        <v>2160</v>
      </c>
      <c r="I4" s="6" t="s">
        <v>2161</v>
      </c>
    </row>
  </sheetData>
  <autoFilter ref="A1:I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2026-09-25T19:52:29Z</dcterms:created>
  <dc:creator>openpyxl</dc:creator>
  <dc:description/>
  <dc:language>en-US</dc:language>
  <cp:lastModifiedBy/>
  <dcterms:modified xsi:type="dcterms:W3CDTF">2026-09-25T19:52:29Z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