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Coverage" sheetId="3" state="visible" r:id="rId3"/>
    <sheet xmlns:r="http://schemas.openxmlformats.org/officeDocument/2006/relationships" name="Audit fields" sheetId="4" state="visible" r:id="rId4"/>
    <sheet xmlns:r="http://schemas.openxmlformats.org/officeDocument/2006/relationships" name="Rate sample rules" sheetId="5" state="visible" r:id="rId5"/>
    <sheet xmlns:r="http://schemas.openxmlformats.org/officeDocument/2006/relationships" name="Law dates" sheetId="6" state="visible" r:id="rId6"/>
    <sheet xmlns:r="http://schemas.openxmlformats.org/officeDocument/2006/relationships" name="Governing bodies" sheetId="7" state="visible" r:id="rId7"/>
    <sheet xmlns:r="http://schemas.openxmlformats.org/officeDocument/2006/relationships" name="Weekly log" sheetId="8" state="visible" r:id="rId8"/>
    <sheet xmlns:r="http://schemas.openxmlformats.org/officeDocument/2006/relationships" name="News" sheetId="9" state="visible" r:id="rId9"/>
    <sheet xmlns:r="http://schemas.openxmlformats.org/officeDocument/2006/relationships" name="Audit procedures" sheetId="10" state="visible" r:id="rId10"/>
    <sheet xmlns:r="http://schemas.openxmlformats.org/officeDocument/2006/relationships" name="Audit climate" sheetId="11" state="visible" r:id="rId11"/>
  </sheets>
  <definedNames>
    <definedName name="_xlnm._FilterDatabase" localSheetId="1" hidden="1">'Summary'!$A$1:$R$51</definedName>
    <definedName name="_xlnm._FilterDatabase" localSheetId="2" hidden="1">'Coverage'!$A$1:$L$201</definedName>
    <definedName name="_xlnm._FilterDatabase" localSheetId="3" hidden="1">'Audit fields'!$A$1:$AN$51</definedName>
    <definedName name="_xlnm._FilterDatabase" localSheetId="4" hidden="1">'Rate sample rules'!$A$1:$L$51</definedName>
    <definedName name="_xlnm._FilterDatabase" localSheetId="5" hidden="1">'Law dates'!$A$1:$M$51</definedName>
    <definedName name="_xlnm._FilterDatabase" localSheetId="6" hidden="1">'Governing bodies'!$A$1:$J$51</definedName>
    <definedName name="_xlnm._FilterDatabase" localSheetId="7" hidden="1">'Weekly log'!$A$1:$J$36</definedName>
    <definedName name="_xlnm._FilterDatabase" localSheetId="8" hidden="1">'News'!$A$1:$J$6</definedName>
    <definedName name="_xlnm._FilterDatabase" localSheetId="9" hidden="1">'Audit procedures'!$A$1:$X$51</definedName>
    <definedName name="_xlnm._FilterDatabase" localSheetId="10" hidden="1">'Audit climate'!$A$1:$V$51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3">
    <fill>
      <patternFill/>
    </fill>
    <fill>
      <patternFill patternType="gray125"/>
    </fill>
    <fill>
      <patternFill patternType="solid">
        <fgColor rgb="00142943"/>
      </patternFill>
    </fill>
  </fills>
  <borders count="2">
    <border>
      <left/>
      <right/>
      <top/>
      <bottom/>
      <diagonal/>
    </border>
    <border>
      <bottom style="thin">
        <color rgb="009FB0C5"/>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3" fillId="0" borderId="0" pivotButton="0" quotePrefix="0" xfId="0"/>
    <xf numFmtId="0" fontId="2" fillId="0"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30" customWidth="1" min="1" max="1"/>
  </cols>
  <sheetData>
    <row r="1">
      <c r="A1" s="1" t="inlineStr">
        <is>
          <t>Warranty Atlas · workpaper export</t>
        </is>
      </c>
    </row>
    <row r="2">
      <c r="A2" s="2" t="inlineStr">
        <is>
          <t>Built 2026-10-23 from the live Atlas data files.</t>
        </is>
      </c>
    </row>
    <row r="3">
      <c r="A3" s="2" t="inlineStr"/>
    </row>
    <row r="4">
      <c r="A4" s="3" t="inlineStr">
        <is>
          <t>What is in this workbook</t>
        </is>
      </c>
    </row>
    <row r="5">
      <c r="A5" s="2" t="inlineStr">
        <is>
          <t>Summary: one row per state with coverage status, key audit fields, law dates and last-verified date. Count formulas at the right.</t>
        </is>
      </c>
    </row>
    <row r="6">
      <c r="A6" s="2" t="inlineStr">
        <is>
          <t>Coverage: 200 rows (50 states x 4 coverage types) with statute quotes and pinpoint cites.</t>
        </is>
      </c>
    </row>
    <row r="7">
      <c r="A7" s="2" t="inlineStr">
        <is>
          <t>Audit fields: claim deadlines, chargeback windows, rate submission, manufacturer response and challenge, penalties, with quotes.</t>
        </is>
      </c>
    </row>
    <row r="8">
      <c r="A8" s="2" t="inlineStr">
        <is>
          <t>Rate sample rules: each state's retail-rate sample, RO age limit and exclusions.</t>
        </is>
      </c>
    </row>
    <row r="9">
      <c r="A9" s="2" t="inlineStr">
        <is>
          <t>Law dates: last amendment, amending act, original enactment, next scheduled change.</t>
        </is>
      </c>
    </row>
    <row r="10">
      <c r="A10" s="2" t="inlineStr">
        <is>
          <t>Governing bodies: whether the rules come from the statute alone or also an agency rule, the agency and its website, and where a dealer takes a dispute.</t>
        </is>
      </c>
    </row>
    <row r="11">
      <c r="A11" s="2" t="inlineStr">
        <is>
          <t>Audit procedures: notice, selection basis, frequency, written reasons, response period, appeal, chargeback holds, extrapolation, clerical errors, documentation limits, fraud carve-outs, rate validation and consequences, with quotes.</t>
        </is>
      </c>
    </row>
    <row r="12">
      <c r="A12" s="2" t="inlineStr">
        <is>
          <t>Audit climate: the audit climate score (0-100) behind the Audit Climate tab, its two sub-scores and each limit's level (0-3), with the weights, plus flagged states. Higher = more restrictive toward audits, chargebacks and rate validation. Statute text only.</t>
        </is>
      </c>
    </row>
    <row r="13">
      <c r="A13" s="2" t="inlineStr">
        <is>
          <t>Weekly log and News: the Updates and News tabs.</t>
        </is>
      </c>
    </row>
    <row r="14">
      <c r="A14" s="2" t="inlineStr"/>
    </row>
    <row r="15">
      <c r="A15" s="3" t="inlineStr">
        <is>
          <t>How to read it</t>
        </is>
      </c>
    </row>
    <row r="16">
      <c r="A16" s="2" t="inlineStr">
        <is>
          <t>"Silent" / "Not addressed" means the reviewed statute says nothing and no state agency rule was found (all 50 states checked 2026-10-06). Contracts or other law may still apply.</t>
        </is>
      </c>
    </row>
    <row r="17">
      <c r="A17" s="2" t="inlineStr">
        <is>
          <t>"Conditional" coverage usually turns on who the legal obligor is, or whether the manufacturer pays for the work. Program branding does not establish the obligor.</t>
        </is>
      </c>
    </row>
    <row r="18">
      <c r="A18" s="2" t="inlineStr">
        <is>
          <t>Rhode Island: the 2026 amendments took effect 10/1/2026 and are shown as current law.</t>
        </is>
      </c>
    </row>
    <row r="19">
      <c r="A19" s="2" t="inlineStr"/>
    </row>
    <row r="20">
      <c r="A20" s="3" t="inlineStr">
        <is>
          <t>Limits</t>
        </is>
      </c>
    </row>
    <row r="21">
      <c r="A21" s="2" t="inlineStr">
        <is>
          <t>Public-source research summary for audit planning. It is not legal advice and does not contain any company-approved rates or dealer payment data. Confirm against the cited statute before relying on a specific rule; escalate disputes to Legal.</t>
        </is>
      </c>
    </row>
    <row r="22">
      <c r="A22" s="2" t="inlineStr">
        <is>
          <t>Sources: official legislature/revisor text unless the record says enrolled act or mirror. Quotes were machine-checked against saved source text during research.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30" customWidth="1" min="3" max="3"/>
    <col width="16" customWidth="1" min="4" max="4"/>
    <col width="14" customWidth="1" min="5" max="5"/>
    <col width="16" customWidth="1" min="6" max="6"/>
    <col width="11" customWidth="1" min="7" max="7"/>
    <col width="12" customWidth="1" min="8" max="8"/>
    <col width="10" customWidth="1" min="9" max="9"/>
    <col width="12" customWidth="1" min="10" max="10"/>
    <col width="22" customWidth="1" min="11" max="11"/>
    <col width="34" customWidth="1" min="12" max="12"/>
    <col width="11" customWidth="1" min="13" max="13"/>
    <col width="12" customWidth="1" min="14" max="14"/>
    <col width="18" customWidth="1" min="15" max="15"/>
    <col width="26" customWidth="1" min="16" max="16"/>
    <col width="12" customWidth="1" min="17" max="17"/>
    <col width="11" customWidth="1" min="18" max="18"/>
    <col width="32" customWidth="1" min="20" max="20"/>
    <col width="8" customWidth="1" min="21" max="21"/>
  </cols>
  <sheetData>
    <row r="1" ht="32" customHeight="1">
      <c r="A1" s="4" t="inlineStr">
        <is>
          <t>State</t>
        </is>
      </c>
      <c r="B1" s="4" t="inlineStr">
        <is>
          <t>Name</t>
        </is>
      </c>
      <c r="C1" s="4" t="inlineStr">
        <is>
          <t>Factory paid hours</t>
        </is>
      </c>
      <c r="D1" s="4" t="inlineStr">
        <is>
          <t>Mfr service contract</t>
        </is>
      </c>
      <c r="E1" s="4" t="inlineStr">
        <is>
          <t>CPO</t>
        </is>
      </c>
      <c r="F1" s="4" t="inlineStr">
        <is>
          <t>Independent SC</t>
        </is>
      </c>
      <c r="G1" s="4" t="inlineStr">
        <is>
          <t>Claim decision (days)</t>
        </is>
      </c>
      <c r="H1" s="4" t="inlineStr">
        <is>
          <t>Late claim deemed approved</t>
        </is>
      </c>
      <c r="I1" s="4" t="inlineStr">
        <is>
          <t>Payment (days)</t>
        </is>
      </c>
      <c r="J1" s="4" t="inlineStr">
        <is>
          <t>Chargeback window (months)</t>
        </is>
      </c>
      <c r="K1" s="4" t="inlineStr">
        <is>
          <t>Rate resubmission</t>
        </is>
      </c>
      <c r="L1" s="4" t="inlineStr">
        <is>
          <t>Rate sample</t>
        </is>
      </c>
      <c r="M1" s="4" t="inlineStr">
        <is>
          <t>Mfr response (days)</t>
        </is>
      </c>
      <c r="N1" s="4" t="inlineStr">
        <is>
          <t>No response = approved</t>
        </is>
      </c>
      <c r="O1" s="4" t="inlineStr">
        <is>
          <t>Law last amended</t>
        </is>
      </c>
      <c r="P1" s="4" t="inlineStr">
        <is>
          <t>Next scheduled change</t>
        </is>
      </c>
      <c r="Q1" s="4" t="inlineStr">
        <is>
          <t>Last verified</t>
        </is>
      </c>
      <c r="R1" s="4" t="inlineStr">
        <is>
          <t>Confidence</t>
        </is>
      </c>
      <c r="T1" s="5" t="inlineStr">
        <is>
          <t>Counts</t>
        </is>
      </c>
    </row>
    <row r="2">
      <c r="A2" s="6" t="inlineStr">
        <is>
          <t>AK</t>
        </is>
      </c>
      <c r="B2" s="6" t="inlineStr">
        <is>
          <t>Alaska</t>
        </is>
      </c>
      <c r="C2" s="6" t="inlineStr">
        <is>
          <t>Independent/retail time guide</t>
        </is>
      </c>
      <c r="D2" s="6" t="inlineStr">
        <is>
          <t>Not reached</t>
        </is>
      </c>
      <c r="E2" s="6" t="inlineStr">
        <is>
          <t>Not addressed</t>
        </is>
      </c>
      <c r="F2" s="6" t="inlineStr">
        <is>
          <t>Not reached</t>
        </is>
      </c>
      <c r="G2" s="6" t="n">
        <v>30</v>
      </c>
      <c r="H2" s="6" t="inlineStr">
        <is>
          <t>Yes</t>
        </is>
      </c>
      <c r="I2" s="6" t="n">
        <v>30</v>
      </c>
      <c r="J2" s="6" t="n">
        <v>12</v>
      </c>
      <c r="K2" s="6" t="inlineStr">
        <is>
          <t>not more than one rate increase in a calendar year</t>
        </is>
      </c>
      <c r="L2" s="6" t="inlineStr">
        <is>
          <t>No statutory labor-rate sample</t>
        </is>
      </c>
      <c r="M2" s="6" t="n">
        <v>30</v>
      </c>
      <c r="N2" s="6" t="inlineStr">
        <is>
          <t>Yes</t>
        </is>
      </c>
      <c r="O2" s="6" t="inlineStr">
        <is>
          <t>2024 (eff. 2024-10-27)</t>
        </is>
      </c>
      <c r="P2" s="6" t="inlineStr"/>
      <c r="Q2" s="6" t="inlineStr">
        <is>
          <t>2026-10-06</t>
        </is>
      </c>
      <c r="R2" s="6" t="inlineStr">
        <is>
          <t>high</t>
        </is>
      </c>
      <c r="T2" s="7" t="inlineStr">
        <is>
          <t>Mfr SC Required</t>
        </is>
      </c>
      <c r="U2" s="7">
        <f>COUNTIF($D$2:$D$51,"Required")</f>
        <v/>
      </c>
    </row>
    <row r="3">
      <c r="A3" s="6" t="inlineStr">
        <is>
          <t>AL</t>
        </is>
      </c>
      <c r="B3" s="6" t="inlineStr">
        <is>
          <t>Alabama</t>
        </is>
      </c>
      <c r="C3" s="6" t="inlineStr">
        <is>
          <t>Factory time (reasonable/adequate standard where stated)</t>
        </is>
      </c>
      <c r="D3" s="6" t="inlineStr">
        <is>
          <t>Not addressed</t>
        </is>
      </c>
      <c r="E3" s="6" t="inlineStr">
        <is>
          <t>Required</t>
        </is>
      </c>
      <c r="F3" s="6" t="inlineStr">
        <is>
          <t>Not addressed</t>
        </is>
      </c>
      <c r="G3" s="6" t="n">
        <v>30</v>
      </c>
      <c r="H3" s="6" t="inlineStr">
        <is>
          <t>Yes</t>
        </is>
      </c>
      <c r="I3" s="6" t="n">
        <v>30</v>
      </c>
      <c r="J3" s="6" t="n">
        <v>12</v>
      </c>
      <c r="K3" s="6" t="inlineStr">
        <is>
          <t>not more frequently than once per 12-month period</t>
        </is>
      </c>
      <c r="L3" s="6" t="inlineStr">
        <is>
          <t>100 ROs or 90 days (fewer of the two samples); ROs &lt;= 180 days old</t>
        </is>
      </c>
      <c r="M3" s="6" t="n">
        <v>45</v>
      </c>
      <c r="N3" s="6" t="inlineStr">
        <is>
          <t>Yes</t>
        </is>
      </c>
      <c r="O3" s="6" t="inlineStr">
        <is>
          <t>2022 (eff. 2022-06-01)</t>
        </is>
      </c>
      <c r="P3" s="6" t="inlineStr"/>
      <c r="Q3" s="6" t="inlineStr">
        <is>
          <t>2026-10-06</t>
        </is>
      </c>
      <c r="R3" s="6" t="inlineStr">
        <is>
          <t>high</t>
        </is>
      </c>
      <c r="T3" s="7" t="inlineStr">
        <is>
          <t>Mfr SC Conditional</t>
        </is>
      </c>
      <c r="U3" s="7">
        <f>COUNTIF($D$2:$D$51,"Conditional")</f>
        <v/>
      </c>
    </row>
    <row r="4">
      <c r="A4" s="6" t="inlineStr">
        <is>
          <t>AR</t>
        </is>
      </c>
      <c r="B4" s="6" t="inlineStr">
        <is>
          <t>Arkansas</t>
        </is>
      </c>
      <c r="C4" s="6" t="inlineStr">
        <is>
          <t>Factory time (reasonable/adequate standard where stated)</t>
        </is>
      </c>
      <c r="D4" s="6" t="inlineStr">
        <is>
          <t>Not addressed</t>
        </is>
      </c>
      <c r="E4" s="6" t="inlineStr">
        <is>
          <t>Not addressed</t>
        </is>
      </c>
      <c r="F4" s="6" t="inlineStr">
        <is>
          <t>Not addressed</t>
        </is>
      </c>
      <c r="G4" s="6" t="n">
        <v>30</v>
      </c>
      <c r="H4" s="6" t="inlineStr">
        <is>
          <t>Yes</t>
        </is>
      </c>
      <c r="I4" s="6" t="n">
        <v>30</v>
      </c>
      <c r="J4" s="6" t="n">
        <v>12</v>
      </c>
      <c r="K4" s="6" t="inlineStr">
        <is>
          <t>Silent</t>
        </is>
      </c>
      <c r="L4" s="6" t="inlineStr">
        <is>
          <t>100 ROs or 90 days (fewer of the two samples); ROs &lt;= 180 days old</t>
        </is>
      </c>
      <c r="M4" s="6" t="n">
        <v>45</v>
      </c>
      <c r="N4" s="6" t="inlineStr">
        <is>
          <t>Yes</t>
        </is>
      </c>
      <c r="O4" s="6" t="inlineStr">
        <is>
          <t>2023 (eff. 2023-08-01)</t>
        </is>
      </c>
      <c r="P4" s="6" t="inlineStr"/>
      <c r="Q4" s="6" t="inlineStr">
        <is>
          <t>2026-10-23</t>
        </is>
      </c>
      <c r="R4" s="6" t="inlineStr">
        <is>
          <t>medium</t>
        </is>
      </c>
      <c r="T4" s="7" t="inlineStr">
        <is>
          <t>CPO Required</t>
        </is>
      </c>
      <c r="U4" s="7">
        <f>COUNTIF($E$2:$E$51,"Required")</f>
        <v/>
      </c>
    </row>
    <row r="5">
      <c r="A5" s="6" t="inlineStr">
        <is>
          <t>AZ</t>
        </is>
      </c>
      <c r="B5" s="6" t="inlineStr">
        <is>
          <t>Arizona</t>
        </is>
      </c>
      <c r="C5" s="6" t="inlineStr">
        <is>
          <t>Factory time (reasonable/adequate standard where stated)</t>
        </is>
      </c>
      <c r="D5" s="6" t="inlineStr">
        <is>
          <t>Not addressed</t>
        </is>
      </c>
      <c r="E5" s="6" t="inlineStr">
        <is>
          <t>Not addressed</t>
        </is>
      </c>
      <c r="F5" s="6" t="inlineStr">
        <is>
          <t>Not addressed</t>
        </is>
      </c>
      <c r="G5" s="6" t="n">
        <v>30</v>
      </c>
      <c r="H5" s="6" t="inlineStr">
        <is>
          <t>Yes</t>
        </is>
      </c>
      <c r="I5" s="6" t="n">
        <v>30</v>
      </c>
      <c r="J5" s="6" t="n">
        <v>12</v>
      </c>
      <c r="K5" s="6" t="inlineStr">
        <is>
          <t>not more than once in any twelve-month period</t>
        </is>
      </c>
      <c r="L5" s="6" t="inlineStr">
        <is>
          <t>100 ROs or 90 days (fewer of the two samples); ROs &lt;= 180 days old</t>
        </is>
      </c>
      <c r="M5" s="6" t="n">
        <v>30</v>
      </c>
      <c r="N5" s="6" t="inlineStr">
        <is>
          <t>Yes</t>
        </is>
      </c>
      <c r="O5" s="6" t="inlineStr">
        <is>
          <t>2024 (eff. 2024-09-14)</t>
        </is>
      </c>
      <c r="P5" s="6" t="inlineStr"/>
      <c r="Q5" s="6" t="inlineStr">
        <is>
          <t>2026-09-25</t>
        </is>
      </c>
      <c r="R5" s="6" t="inlineStr">
        <is>
          <t>high</t>
        </is>
      </c>
      <c r="T5" s="7" t="inlineStr">
        <is>
          <t>CPO Conditional</t>
        </is>
      </c>
      <c r="U5" s="7">
        <f>COUNTIF($E$2:$E$51,"Conditional")</f>
        <v/>
      </c>
    </row>
    <row r="6">
      <c r="A6" s="6" t="inlineStr">
        <is>
          <t>CA</t>
        </is>
      </c>
      <c r="B6" s="6" t="inlineStr">
        <is>
          <t>California</t>
        </is>
      </c>
      <c r="C6" s="6" t="inlineStr">
        <is>
          <t>Factory time (reasonable/adequate standard where stated)</t>
        </is>
      </c>
      <c r="D6" s="6" t="inlineStr">
        <is>
          <t>Not addressed</t>
        </is>
      </c>
      <c r="E6" s="6" t="inlineStr">
        <is>
          <t>Required</t>
        </is>
      </c>
      <c r="F6" s="6" t="inlineStr">
        <is>
          <t>Not addressed</t>
        </is>
      </c>
      <c r="G6" s="6" t="n">
        <v>30</v>
      </c>
      <c r="H6" s="6" t="inlineStr">
        <is>
          <t>Yes</t>
        </is>
      </c>
      <c r="I6" s="6" t="n">
        <v>30</v>
      </c>
      <c r="J6" s="6" t="n">
        <v>9</v>
      </c>
      <c r="K6" s="6" t="inlineStr">
        <is>
          <t>no more frequently than once per calendar year</t>
        </is>
      </c>
      <c r="L6" s="6" t="inlineStr">
        <is>
          <t>100 ROs or 90 days (fewer of the two samples); ROs &lt;= 180 days old</t>
        </is>
      </c>
      <c r="M6" s="6" t="n">
        <v>30</v>
      </c>
      <c r="N6" s="6" t="inlineStr">
        <is>
          <t>Yes</t>
        </is>
      </c>
      <c r="O6" s="6" t="inlineStr">
        <is>
          <t>2019 (eff. 2020-01-01)</t>
        </is>
      </c>
      <c r="P6" s="6" t="inlineStr"/>
      <c r="Q6" s="6" t="inlineStr">
        <is>
          <t>2026-10-23</t>
        </is>
      </c>
      <c r="R6" s="6" t="inlineStr">
        <is>
          <t>high</t>
        </is>
      </c>
      <c r="T6" s="7" t="inlineStr">
        <is>
          <t>Indep SC Conditional</t>
        </is>
      </c>
      <c r="U6" s="7">
        <f>COUNTIF($F$2:$F$51,"Conditional")</f>
        <v/>
      </c>
    </row>
    <row r="7">
      <c r="A7" s="6" t="inlineStr">
        <is>
          <t>CO</t>
        </is>
      </c>
      <c r="B7" s="6" t="inlineStr">
        <is>
          <t>Colorado</t>
        </is>
      </c>
      <c r="C7" s="6" t="inlineStr">
        <is>
          <t>Factory time (reasonable/adequate standard where stated)</t>
        </is>
      </c>
      <c r="D7" s="6" t="inlineStr">
        <is>
          <t>Not addressed</t>
        </is>
      </c>
      <c r="E7" s="6" t="inlineStr">
        <is>
          <t>Required</t>
        </is>
      </c>
      <c r="F7" s="6" t="inlineStr">
        <is>
          <t>Not addressed</t>
        </is>
      </c>
      <c r="G7" s="6" t="inlineStr"/>
      <c r="H7" s="6" t="inlineStr">
        <is>
          <t>Silent</t>
        </is>
      </c>
      <c r="I7" s="6" t="inlineStr"/>
      <c r="J7" s="6" t="n">
        <v>9</v>
      </c>
      <c r="K7" s="6" t="inlineStr">
        <is>
          <t>increase requests not more often than once annually (labor and parts each)</t>
        </is>
      </c>
      <c r="L7" s="6" t="inlineStr">
        <is>
          <t>100 ROs or 90 days (dealer chooses); ROs &lt;= 90 days old</t>
        </is>
      </c>
      <c r="M7" s="6" t="n">
        <v>45</v>
      </c>
      <c r="N7" s="6" t="inlineStr">
        <is>
          <t>Yes</t>
        </is>
      </c>
      <c r="O7" s="6" t="inlineStr">
        <is>
          <t>2023 (eff. 2023-08-07)</t>
        </is>
      </c>
      <c r="P7" s="6" t="inlineStr"/>
      <c r="Q7" s="6" t="inlineStr">
        <is>
          <t>2026-10-06</t>
        </is>
      </c>
      <c r="R7" s="6" t="inlineStr">
        <is>
          <t>medium</t>
        </is>
      </c>
      <c r="T7" s="7" t="inlineStr">
        <is>
          <t>Late claims deemed approved</t>
        </is>
      </c>
      <c r="U7" s="7">
        <f>COUNTIF($H$2:$H$51,"Yes")</f>
        <v/>
      </c>
    </row>
    <row r="8">
      <c r="A8" s="6" t="inlineStr">
        <is>
          <t>CT</t>
        </is>
      </c>
      <c r="B8" s="6" t="inlineStr">
        <is>
          <t>Connecticut</t>
        </is>
      </c>
      <c r="C8" s="6" t="inlineStr">
        <is>
          <t>Factory time (reasonable/adequate standard where stated)</t>
        </is>
      </c>
      <c r="D8" s="6" t="inlineStr">
        <is>
          <t>Not addressed</t>
        </is>
      </c>
      <c r="E8" s="6" t="inlineStr">
        <is>
          <t>Not addressed</t>
        </is>
      </c>
      <c r="F8" s="6" t="inlineStr">
        <is>
          <t>Not addressed</t>
        </is>
      </c>
      <c r="G8" s="6" t="n">
        <v>30</v>
      </c>
      <c r="H8" s="6" t="inlineStr">
        <is>
          <t>Yes</t>
        </is>
      </c>
      <c r="I8" s="6" t="n">
        <v>30</v>
      </c>
      <c r="J8" s="6" t="n">
        <v>12</v>
      </c>
      <c r="K8" s="6" t="inlineStr">
        <is>
          <t>not more than twice in one calendar year</t>
        </is>
      </c>
      <c r="L8" s="6" t="inlineStr">
        <is>
          <t>All qualifying ROs, prior calendar month</t>
        </is>
      </c>
      <c r="M8" s="6" t="n">
        <v>30</v>
      </c>
      <c r="N8" s="6" t="inlineStr">
        <is>
          <t>Yes</t>
        </is>
      </c>
      <c r="O8" s="6" t="inlineStr">
        <is>
          <t>2026 (eff. 2026-10-01)</t>
        </is>
      </c>
      <c r="P8" s="6" t="inlineStr"/>
      <c r="Q8" s="6" t="inlineStr">
        <is>
          <t>2026-10-06</t>
        </is>
      </c>
      <c r="R8" s="6" t="inlineStr">
        <is>
          <t>high</t>
        </is>
      </c>
      <c r="T8" s="7" t="inlineStr">
        <is>
          <t>Chargeback window 12 months</t>
        </is>
      </c>
      <c r="U8" s="7">
        <f>COUNTIF($J$2:$J$51,12)</f>
        <v/>
      </c>
    </row>
    <row r="9">
      <c r="A9" s="6" t="inlineStr">
        <is>
          <t>DE</t>
        </is>
      </c>
      <c r="B9" s="6" t="inlineStr">
        <is>
          <t>Delaware</t>
        </is>
      </c>
      <c r="C9" s="6" t="inlineStr">
        <is>
          <t>Factory time (reasonable/adequate standard where stated)</t>
        </is>
      </c>
      <c r="D9" s="6" t="inlineStr">
        <is>
          <t>Required</t>
        </is>
      </c>
      <c r="E9" s="6" t="inlineStr">
        <is>
          <t>Required</t>
        </is>
      </c>
      <c r="F9" s="6" t="inlineStr">
        <is>
          <t>Not addressed</t>
        </is>
      </c>
      <c r="G9" s="6" t="n">
        <v>30</v>
      </c>
      <c r="H9" s="6" t="inlineStr">
        <is>
          <t>Yes</t>
        </is>
      </c>
      <c r="I9" s="6" t="n">
        <v>30</v>
      </c>
      <c r="J9" s="6" t="n">
        <v>6</v>
      </c>
      <c r="K9" s="6" t="inlineStr">
        <is>
          <t>not more than once every 9 months</t>
        </is>
      </c>
      <c r="L9" s="6" t="inlineStr">
        <is>
          <t>100 ROs or 90 days (fewer of the two samples); ROs &lt;= 180 days old</t>
        </is>
      </c>
      <c r="M9" s="6" t="n">
        <v>30</v>
      </c>
      <c r="N9" s="6" t="inlineStr">
        <is>
          <t>Yes</t>
        </is>
      </c>
      <c r="O9" s="6" t="inlineStr">
        <is>
          <t>2024 (eff. 2024-08-29)</t>
        </is>
      </c>
      <c r="P9" s="6" t="inlineStr"/>
      <c r="Q9" s="6" t="inlineStr">
        <is>
          <t>2026-09-25</t>
        </is>
      </c>
      <c r="R9" s="6" t="inlineStr">
        <is>
          <t>high</t>
        </is>
      </c>
      <c r="T9" s="7" t="inlineStr">
        <is>
          <t>Chargeback window under 12 months</t>
        </is>
      </c>
      <c r="U9" s="7">
        <f>COUNTIFS($J$2:$J$51,"&lt;12",$J$2:$J$51,"&gt;0")</f>
        <v/>
      </c>
    </row>
    <row r="10">
      <c r="A10" s="6" t="inlineStr">
        <is>
          <t>FL</t>
        </is>
      </c>
      <c r="B10" s="6" t="inlineStr">
        <is>
          <t>Florida</t>
        </is>
      </c>
      <c r="C10" s="6" t="inlineStr">
        <is>
          <t>Factory time (reasonable/adequate standard where stated)</t>
        </is>
      </c>
      <c r="D10" s="6" t="inlineStr">
        <is>
          <t>Conditional</t>
        </is>
      </c>
      <c r="E10" s="6" t="inlineStr">
        <is>
          <t>Conditional</t>
        </is>
      </c>
      <c r="F10" s="6" t="inlineStr">
        <is>
          <t>Not reached</t>
        </is>
      </c>
      <c r="G10" s="6" t="inlineStr"/>
      <c r="H10" s="6" t="inlineStr">
        <is>
          <t>Silent</t>
        </is>
      </c>
      <c r="I10" s="6" t="n">
        <v>30</v>
      </c>
      <c r="J10" s="6" t="n">
        <v>12</v>
      </c>
      <c r="K10" s="6" t="inlineStr">
        <is>
          <t>written requests for changes not more than semiannually</t>
        </is>
      </c>
      <c r="L10" s="6" t="inlineStr">
        <is>
          <t>All qualifying ROs, prior calendar month</t>
        </is>
      </c>
      <c r="M10" s="6" t="n">
        <v>30</v>
      </c>
      <c r="N10" s="6" t="inlineStr">
        <is>
          <t>Silent</t>
        </is>
      </c>
      <c r="O10" s="6" t="inlineStr">
        <is>
          <t>2009 (eff. 2009-05-28)</t>
        </is>
      </c>
      <c r="P10" s="6" t="inlineStr"/>
      <c r="Q10" s="6" t="inlineStr">
        <is>
          <t>2026-10-23</t>
        </is>
      </c>
      <c r="R10" s="6" t="inlineStr">
        <is>
          <t>high</t>
        </is>
      </c>
      <c r="T10" s="7" t="inlineStr">
        <is>
          <t>No response = approved</t>
        </is>
      </c>
      <c r="U10" s="7">
        <f>COUNTIF($N$2:$N$51,"Yes")</f>
        <v/>
      </c>
    </row>
    <row r="11">
      <c r="A11" s="6" t="inlineStr">
        <is>
          <t>GA</t>
        </is>
      </c>
      <c r="B11" s="6" t="inlineStr">
        <is>
          <t>Georgia</t>
        </is>
      </c>
      <c r="C11" s="6" t="inlineStr">
        <is>
          <t>Factory time (reasonable/adequate standard where stated)</t>
        </is>
      </c>
      <c r="D11" s="6" t="inlineStr">
        <is>
          <t>Conditional</t>
        </is>
      </c>
      <c r="E11" s="6" t="inlineStr">
        <is>
          <t>Not addressed</t>
        </is>
      </c>
      <c r="F11" s="6" t="inlineStr">
        <is>
          <t>Not reached</t>
        </is>
      </c>
      <c r="G11" s="6" t="n">
        <v>30</v>
      </c>
      <c r="H11" s="6" t="inlineStr">
        <is>
          <t>Yes</t>
        </is>
      </c>
      <c r="I11" s="6" t="n">
        <v>30</v>
      </c>
      <c r="J11" s="6" t="n">
        <v>12</v>
      </c>
      <c r="K11" s="6" t="inlineStr">
        <is>
          <t>no dealer shall declare a retail rate for parts or labor or both more than once in one calendar year</t>
        </is>
      </c>
      <c r="L11" s="6" t="inlineStr">
        <is>
          <t>100 ROs or 90 days (fewer of the two samples); ROs &lt;= 180 days old</t>
        </is>
      </c>
      <c r="M11" s="6" t="n">
        <v>30</v>
      </c>
      <c r="N11" s="6" t="inlineStr">
        <is>
          <t>Silent</t>
        </is>
      </c>
      <c r="O11" s="6" t="inlineStr">
        <is>
          <t>2025 (eff. 2025-07-01)</t>
        </is>
      </c>
      <c r="P11" s="6" t="inlineStr"/>
      <c r="Q11" s="6" t="inlineStr">
        <is>
          <t>2026-09-25</t>
        </is>
      </c>
      <c r="R11" s="6" t="inlineStr">
        <is>
          <t>medium</t>
        </is>
      </c>
      <c r="T11" s="7" t="inlineStr">
        <is>
          <t>States with a scheduled change</t>
        </is>
      </c>
      <c r="U11" s="7">
        <f>COUNTIF($P$2:$P$51,"?*")</f>
        <v/>
      </c>
    </row>
    <row r="12">
      <c r="A12" s="6" t="inlineStr">
        <is>
          <t>HI</t>
        </is>
      </c>
      <c r="B12" s="6" t="inlineStr">
        <is>
          <t>Hawaii</t>
        </is>
      </c>
      <c r="C12" s="6" t="inlineStr">
        <is>
          <t>Statute silent on time / not established</t>
        </is>
      </c>
      <c r="D12" s="6" t="inlineStr">
        <is>
          <t>Not addressed</t>
        </is>
      </c>
      <c r="E12" s="6" t="inlineStr">
        <is>
          <t>Not addressed</t>
        </is>
      </c>
      <c r="F12" s="6" t="inlineStr">
        <is>
          <t>Not addressed</t>
        </is>
      </c>
      <c r="G12" s="6" t="n">
        <v>30</v>
      </c>
      <c r="H12" s="6" t="inlineStr">
        <is>
          <t>Yes</t>
        </is>
      </c>
      <c r="I12" s="6" t="n">
        <v>30</v>
      </c>
      <c r="J12" s="6" t="n">
        <v>12</v>
      </c>
      <c r="K12" s="6" t="inlineStr">
        <is>
          <t>Silent</t>
        </is>
      </c>
      <c r="L12" s="6" t="inlineStr">
        <is>
          <t>No statutory labor-rate sample</t>
        </is>
      </c>
      <c r="M12" s="6" t="inlineStr"/>
      <c r="N12" s="6" t="inlineStr">
        <is>
          <t>Silent</t>
        </is>
      </c>
      <c r="O12" s="6" t="inlineStr">
        <is>
          <t>2012 (eff. 2012-07-06)</t>
        </is>
      </c>
      <c r="P12" s="6" t="inlineStr"/>
      <c r="Q12" s="6" t="inlineStr">
        <is>
          <t>2026-09-25</t>
        </is>
      </c>
      <c r="R12" s="6" t="inlineStr">
        <is>
          <t>high</t>
        </is>
      </c>
    </row>
    <row r="13">
      <c r="A13" s="6" t="inlineStr">
        <is>
          <t>IA</t>
        </is>
      </c>
      <c r="B13" s="6" t="inlineStr">
        <is>
          <t>Iowa</t>
        </is>
      </c>
      <c r="C13" s="6" t="inlineStr">
        <is>
          <t>Factory time (reasonable/adequate standard where stated)</t>
        </is>
      </c>
      <c r="D13" s="6" t="inlineStr">
        <is>
          <t>Not addressed</t>
        </is>
      </c>
      <c r="E13" s="6" t="inlineStr">
        <is>
          <t>Not addressed</t>
        </is>
      </c>
      <c r="F13" s="6" t="inlineStr">
        <is>
          <t>Not addressed</t>
        </is>
      </c>
      <c r="G13" s="6" t="n">
        <v>30</v>
      </c>
      <c r="H13" s="6" t="inlineStr">
        <is>
          <t>Yes</t>
        </is>
      </c>
      <c r="I13" s="6" t="n">
        <v>30</v>
      </c>
      <c r="J13" s="6" t="n">
        <v>12</v>
      </c>
      <c r="K13" s="6" t="inlineStr">
        <is>
          <t>Once in any one-year period</t>
        </is>
      </c>
      <c r="L13" s="6" t="inlineStr">
        <is>
          <t>100 ROs or 90 days (fewer of the two samples); ROs &lt;= 180 days old</t>
        </is>
      </c>
      <c r="M13" s="6" t="inlineStr"/>
      <c r="N13" s="6" t="inlineStr">
        <is>
          <t>Silent</t>
        </is>
      </c>
      <c r="O13" s="6" t="inlineStr">
        <is>
          <t>2023 (eff. 2023-07-01)</t>
        </is>
      </c>
      <c r="P13" s="6" t="inlineStr"/>
      <c r="Q13" s="6" t="inlineStr">
        <is>
          <t>2026-09-25</t>
        </is>
      </c>
      <c r="R13" s="6" t="inlineStr">
        <is>
          <t>high</t>
        </is>
      </c>
    </row>
    <row r="14">
      <c r="A14" s="6" t="inlineStr">
        <is>
          <t>ID</t>
        </is>
      </c>
      <c r="B14" s="6" t="inlineStr">
        <is>
          <t>Idaho</t>
        </is>
      </c>
      <c r="C14" s="6" t="inlineStr">
        <is>
          <t>Factory time (reasonable/adequate standard where stated)</t>
        </is>
      </c>
      <c r="D14" s="6" t="inlineStr">
        <is>
          <t>Not addressed</t>
        </is>
      </c>
      <c r="E14" s="6" t="inlineStr">
        <is>
          <t>Not addressed</t>
        </is>
      </c>
      <c r="F14" s="6" t="inlineStr">
        <is>
          <t>Not addressed</t>
        </is>
      </c>
      <c r="G14" s="6" t="n">
        <v>30</v>
      </c>
      <c r="H14" s="6" t="inlineStr">
        <is>
          <t>Yes</t>
        </is>
      </c>
      <c r="I14" s="6" t="n">
        <v>30</v>
      </c>
      <c r="J14" s="6" t="n">
        <v>12</v>
      </c>
      <c r="K14" s="6" t="inlineStr">
        <is>
          <t>Once every 12 months</t>
        </is>
      </c>
      <c r="L14" s="6" t="inlineStr">
        <is>
          <t>100 ROs or 90 days (fewer of the two samples); ROs &lt;= 180 days old</t>
        </is>
      </c>
      <c r="M14" s="6" t="n">
        <v>30</v>
      </c>
      <c r="N14" s="6" t="inlineStr">
        <is>
          <t>Yes</t>
        </is>
      </c>
      <c r="O14" s="6" t="inlineStr">
        <is>
          <t>2011 (eff. 2011-07-01)</t>
        </is>
      </c>
      <c r="P14" s="6" t="inlineStr"/>
      <c r="Q14" s="6" t="inlineStr">
        <is>
          <t>2026-10-06</t>
        </is>
      </c>
      <c r="R14" s="6" t="inlineStr">
        <is>
          <t>high</t>
        </is>
      </c>
    </row>
    <row r="15">
      <c r="A15" s="6" t="inlineStr">
        <is>
          <t>IL</t>
        </is>
      </c>
      <c r="B15" s="6" t="inlineStr">
        <is>
          <t>Illinois</t>
        </is>
      </c>
      <c r="C15" s="6" t="inlineStr">
        <is>
          <t>OEM time x multiplier</t>
        </is>
      </c>
      <c r="D15" s="6" t="inlineStr">
        <is>
          <t>Conditional</t>
        </is>
      </c>
      <c r="E15" s="6" t="inlineStr">
        <is>
          <t>Conditional</t>
        </is>
      </c>
      <c r="F15" s="6" t="inlineStr">
        <is>
          <t>Not addressed</t>
        </is>
      </c>
      <c r="G15" s="6" t="n">
        <v>30</v>
      </c>
      <c r="H15" s="6" t="inlineStr">
        <is>
          <t>Yes</t>
        </is>
      </c>
      <c r="I15" s="6" t="n">
        <v>30</v>
      </c>
      <c r="J15" s="6" t="n">
        <v>12</v>
      </c>
      <c r="K15" s="6" t="inlineStr">
        <is>
          <t>Requests for warranty labor-rate increases at most once per calendar year</t>
        </is>
      </c>
      <c r="L15" s="6" t="inlineStr">
        <is>
          <t>100 ROs (RO count only)</t>
        </is>
      </c>
      <c r="M15" s="6" t="inlineStr"/>
      <c r="N15" s="6" t="inlineStr">
        <is>
          <t>Silent</t>
        </is>
      </c>
      <c r="O15" s="6" t="inlineStr">
        <is>
          <t>2021 (eff. 2022-01-01)</t>
        </is>
      </c>
      <c r="P15" s="6" t="inlineStr"/>
      <c r="Q15" s="6" t="inlineStr">
        <is>
          <t>2026-10-23</t>
        </is>
      </c>
      <c r="R15" s="6" t="inlineStr">
        <is>
          <t>high</t>
        </is>
      </c>
    </row>
    <row r="16">
      <c r="A16" s="6" t="inlineStr">
        <is>
          <t>IN</t>
        </is>
      </c>
      <c r="B16" s="6" t="inlineStr">
        <is>
          <t>Indiana</t>
        </is>
      </c>
      <c r="C16" s="6" t="inlineStr">
        <is>
          <t>Statute silent on time / not established</t>
        </is>
      </c>
      <c r="D16" s="6" t="inlineStr">
        <is>
          <t>Not addressed</t>
        </is>
      </c>
      <c r="E16" s="6" t="inlineStr">
        <is>
          <t>Not addressed</t>
        </is>
      </c>
      <c r="F16" s="6" t="inlineStr">
        <is>
          <t>Not addressed</t>
        </is>
      </c>
      <c r="G16" s="6" t="n">
        <v>30</v>
      </c>
      <c r="H16" s="6" t="inlineStr">
        <is>
          <t>Silent</t>
        </is>
      </c>
      <c r="I16" s="6" t="n">
        <v>30</v>
      </c>
      <c r="J16" s="6" t="n">
        <v>12</v>
      </c>
      <c r="K16" s="6" t="inlineStr">
        <is>
          <t>One declaration of the parts markup or labor rate per 12-month period; the dealer may revert to the nonretail rate at most once per 12 months</t>
        </is>
      </c>
      <c r="L16" s="6" t="inlineStr">
        <is>
          <t>100 ROs or 90 days (dealer chooses); ROs &lt;= 180 days old</t>
        </is>
      </c>
      <c r="M16" s="6" t="n">
        <v>60</v>
      </c>
      <c r="N16" s="6" t="inlineStr">
        <is>
          <t>Yes</t>
        </is>
      </c>
      <c r="O16" s="6" t="inlineStr">
        <is>
          <t>2025 (eff. 2025-07-01)</t>
        </is>
      </c>
      <c r="P16" s="6" t="inlineStr"/>
      <c r="Q16" s="6" t="inlineStr">
        <is>
          <t>2026-09-25</t>
        </is>
      </c>
      <c r="R16" s="6" t="inlineStr">
        <is>
          <t>high</t>
        </is>
      </c>
    </row>
    <row r="17">
      <c r="A17" s="6" t="inlineStr">
        <is>
          <t>KS</t>
        </is>
      </c>
      <c r="B17" s="6" t="inlineStr">
        <is>
          <t>Kansas</t>
        </is>
      </c>
      <c r="C17" s="6" t="inlineStr">
        <is>
          <t>Statute silent on time / not established</t>
        </is>
      </c>
      <c r="D17" s="6" t="inlineStr">
        <is>
          <t>Not addressed</t>
        </is>
      </c>
      <c r="E17" s="6" t="inlineStr">
        <is>
          <t>Not addressed</t>
        </is>
      </c>
      <c r="F17" s="6" t="inlineStr">
        <is>
          <t>Not addressed</t>
        </is>
      </c>
      <c r="G17" s="6" t="n">
        <v>30</v>
      </c>
      <c r="H17" s="6" t="inlineStr">
        <is>
          <t>Yes</t>
        </is>
      </c>
      <c r="I17" s="6" t="n">
        <v>30</v>
      </c>
      <c r="J17" s="6" t="n">
        <v>12</v>
      </c>
      <c r="K17" s="6" t="inlineStr">
        <is>
          <t>Once in any one-year period</t>
        </is>
      </c>
      <c r="L17" s="6" t="inlineStr">
        <is>
          <t>100 ROs or 90 days (fewer of the two samples); ROs &lt;= 180 days old</t>
        </is>
      </c>
      <c r="M17" s="6" t="inlineStr"/>
      <c r="N17" s="6" t="inlineStr">
        <is>
          <t>Silent</t>
        </is>
      </c>
      <c r="O17" s="6" t="inlineStr">
        <is>
          <t>2019 (eff. 2019-07-01)</t>
        </is>
      </c>
      <c r="P17" s="6" t="inlineStr"/>
      <c r="Q17" s="6" t="inlineStr">
        <is>
          <t>2026-10-06</t>
        </is>
      </c>
      <c r="R17" s="6" t="inlineStr">
        <is>
          <t>high</t>
        </is>
      </c>
    </row>
    <row r="18">
      <c r="A18" s="6" t="inlineStr">
        <is>
          <t>KY</t>
        </is>
      </c>
      <c r="B18" s="6" t="inlineStr">
        <is>
          <t>Kentucky</t>
        </is>
      </c>
      <c r="C18" s="6" t="inlineStr">
        <is>
          <t>Factory time (reasonable/adequate standard where stated)</t>
        </is>
      </c>
      <c r="D18" s="6" t="inlineStr">
        <is>
          <t>Not addressed</t>
        </is>
      </c>
      <c r="E18" s="6" t="inlineStr">
        <is>
          <t>Not addressed</t>
        </is>
      </c>
      <c r="F18" s="6" t="inlineStr">
        <is>
          <t>Not addressed</t>
        </is>
      </c>
      <c r="G18" s="6" t="n">
        <v>30</v>
      </c>
      <c r="H18" s="6" t="inlineStr">
        <is>
          <t>Yes</t>
        </is>
      </c>
      <c r="I18" s="6" t="n">
        <v>30</v>
      </c>
      <c r="J18" s="6" t="n">
        <v>12</v>
      </c>
      <c r="K18" s="6" t="inlineStr">
        <is>
          <t>Silent</t>
        </is>
      </c>
      <c r="L18" s="6" t="inlineStr">
        <is>
          <t>No statutory labor-rate sample</t>
        </is>
      </c>
      <c r="M18" s="6" t="inlineStr"/>
      <c r="N18" s="6" t="inlineStr">
        <is>
          <t>Silent</t>
        </is>
      </c>
      <c r="O18" s="6" t="inlineStr">
        <is>
          <t>2026 (eff. 2026-07-15)</t>
        </is>
      </c>
      <c r="P18" s="6" t="inlineStr"/>
      <c r="Q18" s="6" t="inlineStr">
        <is>
          <t>2026-09-25</t>
        </is>
      </c>
      <c r="R18" s="6" t="inlineStr">
        <is>
          <t>high</t>
        </is>
      </c>
    </row>
    <row r="19">
      <c r="A19" s="6" t="inlineStr">
        <is>
          <t>LA</t>
        </is>
      </c>
      <c r="B19" s="6" t="inlineStr">
        <is>
          <t>Louisiana</t>
        </is>
      </c>
      <c r="C19" s="6" t="inlineStr">
        <is>
          <t>Factory time (reasonable/adequate standard where stated)</t>
        </is>
      </c>
      <c r="D19" s="6" t="inlineStr">
        <is>
          <t>Not addressed</t>
        </is>
      </c>
      <c r="E19" s="6" t="inlineStr">
        <is>
          <t>Required</t>
        </is>
      </c>
      <c r="F19" s="6" t="inlineStr">
        <is>
          <t>Not addressed</t>
        </is>
      </c>
      <c r="G19" s="6" t="n">
        <v>30</v>
      </c>
      <c r="H19" s="6" t="inlineStr">
        <is>
          <t>Silent</t>
        </is>
      </c>
      <c r="I19" s="6" t="n">
        <v>30</v>
      </c>
      <c r="J19" s="6" t="n">
        <v>12</v>
      </c>
      <c r="K19" s="6" t="inlineStr">
        <is>
          <t>Once in a twelve-month period (parts markup, labor rate, or both)</t>
        </is>
      </c>
      <c r="L19" s="6" t="inlineStr">
        <is>
          <t>100 ROs or 90 days (fewer of the two samples); ROs &lt;= 180 days old</t>
        </is>
      </c>
      <c r="M19" s="6" t="n">
        <v>45</v>
      </c>
      <c r="N19" s="6" t="inlineStr">
        <is>
          <t>Yes</t>
        </is>
      </c>
      <c r="O19" s="6" t="inlineStr">
        <is>
          <t>2021 (eff. 2021-08-01)</t>
        </is>
      </c>
      <c r="P19" s="6" t="inlineStr"/>
      <c r="Q19" s="6" t="inlineStr">
        <is>
          <t>2026-10-06</t>
        </is>
      </c>
      <c r="R19" s="6" t="inlineStr">
        <is>
          <t>high</t>
        </is>
      </c>
    </row>
    <row r="20">
      <c r="A20" s="6" t="inlineStr">
        <is>
          <t>MA</t>
        </is>
      </c>
      <c r="B20" s="6" t="inlineStr">
        <is>
          <t>Massachusetts</t>
        </is>
      </c>
      <c r="C20" s="6" t="inlineStr">
        <is>
          <t>Factory time (reasonable/adequate standard where stated)</t>
        </is>
      </c>
      <c r="D20" s="6" t="inlineStr">
        <is>
          <t>Conditional</t>
        </is>
      </c>
      <c r="E20" s="6" t="inlineStr">
        <is>
          <t>Conditional</t>
        </is>
      </c>
      <c r="F20" s="6" t="inlineStr">
        <is>
          <t>Not reached</t>
        </is>
      </c>
      <c r="G20" s="6" t="n">
        <v>30</v>
      </c>
      <c r="H20" s="6" t="inlineStr">
        <is>
          <t>Yes</t>
        </is>
      </c>
      <c r="I20" s="6" t="n">
        <v>30</v>
      </c>
      <c r="J20" s="6" t="n">
        <v>12</v>
      </c>
      <c r="K20" s="6" t="inlineStr">
        <is>
          <t>once per calendar year</t>
        </is>
      </c>
      <c r="L20" s="6" t="inlineStr">
        <is>
          <t>100 ROs or 60 days (fewer of the two samples); ROs &lt;= 180 days old</t>
        </is>
      </c>
      <c r="M20" s="6" t="n">
        <v>30</v>
      </c>
      <c r="N20" s="6" t="inlineStr">
        <is>
          <t>Yes</t>
        </is>
      </c>
      <c r="O20" s="6" t="inlineStr">
        <is>
          <t>2012 (eff. 2012-10-16)</t>
        </is>
      </c>
      <c r="P20" s="6" t="inlineStr"/>
      <c r="Q20" s="6" t="inlineStr">
        <is>
          <t>2026-09-25</t>
        </is>
      </c>
      <c r="R20" s="6" t="inlineStr">
        <is>
          <t>high</t>
        </is>
      </c>
    </row>
    <row r="21">
      <c r="A21" s="6" t="inlineStr">
        <is>
          <t>MD</t>
        </is>
      </c>
      <c r="B21" s="6" t="inlineStr">
        <is>
          <t>Maryland</t>
        </is>
      </c>
      <c r="C21" s="6" t="inlineStr">
        <is>
          <t>Factory time (reasonable/adequate standard where stated)</t>
        </is>
      </c>
      <c r="D21" s="6" t="inlineStr">
        <is>
          <t>Not addressed</t>
        </is>
      </c>
      <c r="E21" s="6" t="inlineStr">
        <is>
          <t>Not addressed</t>
        </is>
      </c>
      <c r="F21" s="6" t="inlineStr">
        <is>
          <t>Not addressed</t>
        </is>
      </c>
      <c r="G21" s="6" t="n">
        <v>30</v>
      </c>
      <c r="H21" s="6" t="inlineStr">
        <is>
          <t>Yes</t>
        </is>
      </c>
      <c r="I21" s="6" t="n">
        <v>30</v>
      </c>
      <c r="J21" s="6" t="n">
        <v>9</v>
      </c>
      <c r="K21" s="6" t="inlineStr">
        <is>
          <t>Not more than once in 1 year; a revision or supplement to correct or clarify is not a new submission</t>
        </is>
      </c>
      <c r="L21" s="6" t="inlineStr">
        <is>
          <t>100 ROs or 90 days (fewer of the two samples); ROs &lt;= 180 days old</t>
        </is>
      </c>
      <c r="M21" s="6" t="n">
        <v>30</v>
      </c>
      <c r="N21" s="6" t="inlineStr">
        <is>
          <t>Yes</t>
        </is>
      </c>
      <c r="O21" s="6" t="inlineStr">
        <is>
          <t>2020 (eff. 2020-05-08)</t>
        </is>
      </c>
      <c r="P21" s="6" t="inlineStr"/>
      <c r="Q21" s="6" t="inlineStr">
        <is>
          <t>2026-09-25</t>
        </is>
      </c>
      <c r="R21" s="6" t="inlineStr">
        <is>
          <t>high</t>
        </is>
      </c>
    </row>
    <row r="22">
      <c r="A22" s="6" t="inlineStr">
        <is>
          <t>ME</t>
        </is>
      </c>
      <c r="B22" s="6" t="inlineStr">
        <is>
          <t>Maine</t>
        </is>
      </c>
      <c r="C22" s="6" t="inlineStr">
        <is>
          <t>Statute silent on time / not established</t>
        </is>
      </c>
      <c r="D22" s="6" t="inlineStr">
        <is>
          <t>Not addressed</t>
        </is>
      </c>
      <c r="E22" s="6" t="inlineStr">
        <is>
          <t>Not addressed</t>
        </is>
      </c>
      <c r="F22" s="6" t="inlineStr">
        <is>
          <t>Not addressed</t>
        </is>
      </c>
      <c r="G22" s="6" t="n">
        <v>60</v>
      </c>
      <c r="H22" s="6" t="inlineStr">
        <is>
          <t>Silent</t>
        </is>
      </c>
      <c r="I22" s="6" t="n">
        <v>60</v>
      </c>
      <c r="J22" s="6" t="inlineStr"/>
      <c r="K22" s="6" t="inlineStr">
        <is>
          <t>Silent</t>
        </is>
      </c>
      <c r="L22" s="6" t="inlineStr">
        <is>
          <t>No statutory labor-rate sample</t>
        </is>
      </c>
      <c r="M22" s="6" t="inlineStr"/>
      <c r="N22" s="6" t="inlineStr">
        <is>
          <t>Silent</t>
        </is>
      </c>
      <c r="O22" s="6" t="inlineStr">
        <is>
          <t>2013 (eff. 2014-08-01)</t>
        </is>
      </c>
      <c r="P22" s="6" t="inlineStr"/>
      <c r="Q22" s="6" t="inlineStr">
        <is>
          <t>2026-10-06</t>
        </is>
      </c>
      <c r="R22" s="6" t="inlineStr">
        <is>
          <t>high</t>
        </is>
      </c>
    </row>
    <row r="23">
      <c r="A23" s="6" t="inlineStr">
        <is>
          <t>MI</t>
        </is>
      </c>
      <c r="B23" s="6" t="inlineStr">
        <is>
          <t>Michigan</t>
        </is>
      </c>
      <c r="C23" s="6" t="inlineStr">
        <is>
          <t>Factory time (reasonable/adequate standard where stated)</t>
        </is>
      </c>
      <c r="D23" s="6" t="inlineStr">
        <is>
          <t>Not addressed</t>
        </is>
      </c>
      <c r="E23" s="6" t="inlineStr">
        <is>
          <t>Not addressed</t>
        </is>
      </c>
      <c r="F23" s="6" t="inlineStr">
        <is>
          <t>Not addressed</t>
        </is>
      </c>
      <c r="G23" s="6" t="n">
        <v>30</v>
      </c>
      <c r="H23" s="6" t="inlineStr">
        <is>
          <t>Yes</t>
        </is>
      </c>
      <c r="I23" s="6" t="n">
        <v>30</v>
      </c>
      <c r="J23" s="6" t="n">
        <v>12</v>
      </c>
      <c r="K23" s="6" t="inlineStr">
        <is>
          <t>once per calendar year</t>
        </is>
      </c>
      <c r="L23" s="6" t="inlineStr">
        <is>
          <t>100 ROs or 90 days (fewer of the two samples); ROs &lt;= 180 days old</t>
        </is>
      </c>
      <c r="M23" s="6" t="n">
        <v>45</v>
      </c>
      <c r="N23" s="6" t="inlineStr">
        <is>
          <t>Yes</t>
        </is>
      </c>
      <c r="O23" s="6" t="inlineStr">
        <is>
          <t>2018 (eff. 2019-03-28)</t>
        </is>
      </c>
      <c r="P23" s="6" t="inlineStr"/>
      <c r="Q23" s="6" t="inlineStr">
        <is>
          <t>2026-09-25</t>
        </is>
      </c>
      <c r="R23" s="6" t="inlineStr">
        <is>
          <t>high</t>
        </is>
      </c>
    </row>
    <row r="24">
      <c r="A24" s="6" t="inlineStr">
        <is>
          <t>MN</t>
        </is>
      </c>
      <c r="B24" s="6" t="inlineStr">
        <is>
          <t>Minnesota</t>
        </is>
      </c>
      <c r="C24" s="6" t="inlineStr">
        <is>
          <t>Independent/retail time guide</t>
        </is>
      </c>
      <c r="D24" s="6" t="inlineStr">
        <is>
          <t>Not addressed</t>
        </is>
      </c>
      <c r="E24" s="6" t="inlineStr">
        <is>
          <t>Not addressed</t>
        </is>
      </c>
      <c r="F24" s="6" t="inlineStr">
        <is>
          <t>Not addressed</t>
        </is>
      </c>
      <c r="G24" s="6" t="n">
        <v>30</v>
      </c>
      <c r="H24" s="6" t="inlineStr">
        <is>
          <t>Yes</t>
        </is>
      </c>
      <c r="I24" s="6" t="n">
        <v>30</v>
      </c>
      <c r="J24" s="6" t="n">
        <v>12</v>
      </c>
      <c r="K24" s="6" t="inlineStr">
        <is>
          <t>once per year</t>
        </is>
      </c>
      <c r="L24" s="6" t="inlineStr">
        <is>
          <t>100 ROs or 90 days (fewer of the two samples); ROs &lt;= 180 days old</t>
        </is>
      </c>
      <c r="M24" s="6" t="n">
        <v>30</v>
      </c>
      <c r="N24" s="6" t="inlineStr">
        <is>
          <t>Yes</t>
        </is>
      </c>
      <c r="O24" s="6" t="inlineStr">
        <is>
          <t>2023 (eff. 2023-10-01)</t>
        </is>
      </c>
      <c r="P24" s="6" t="inlineStr"/>
      <c r="Q24" s="6" t="inlineStr">
        <is>
          <t>2026-09-25</t>
        </is>
      </c>
      <c r="R24" s="6" t="inlineStr">
        <is>
          <t>high</t>
        </is>
      </c>
    </row>
    <row r="25">
      <c r="A25" s="6" t="inlineStr">
        <is>
          <t>MO</t>
        </is>
      </c>
      <c r="B25" s="6" t="inlineStr">
        <is>
          <t>Missouri</t>
        </is>
      </c>
      <c r="C25" s="6" t="inlineStr">
        <is>
          <t>Factory time (reasonable/adequate standard where stated)</t>
        </is>
      </c>
      <c r="D25" s="6" t="inlineStr">
        <is>
          <t>Not addressed</t>
        </is>
      </c>
      <c r="E25" s="6" t="inlineStr">
        <is>
          <t>Not addressed</t>
        </is>
      </c>
      <c r="F25" s="6" t="inlineStr">
        <is>
          <t>Not addressed</t>
        </is>
      </c>
      <c r="G25" s="6" t="n">
        <v>30</v>
      </c>
      <c r="H25" s="6" t="inlineStr">
        <is>
          <t>Yes</t>
        </is>
      </c>
      <c r="I25" s="6" t="n">
        <v>30</v>
      </c>
      <c r="J25" s="6" t="n">
        <v>12</v>
      </c>
      <c r="K25" s="6" t="inlineStr">
        <is>
          <t>twice per calendar year (requests for a different labor rate or parts rate)</t>
        </is>
      </c>
      <c r="L25" s="6" t="inlineStr">
        <is>
          <t>No statutory labor-rate sample</t>
        </is>
      </c>
      <c r="M25" s="6" t="inlineStr"/>
      <c r="N25" s="6" t="inlineStr">
        <is>
          <t>Silent</t>
        </is>
      </c>
      <c r="O25" s="6" t="inlineStr">
        <is>
          <t>2023 (eff. 2023-08-28)</t>
        </is>
      </c>
      <c r="P25" s="6" t="inlineStr"/>
      <c r="Q25" s="6" t="inlineStr">
        <is>
          <t>2026-09-25</t>
        </is>
      </c>
      <c r="R25" s="6" t="inlineStr">
        <is>
          <t>high</t>
        </is>
      </c>
    </row>
    <row r="26">
      <c r="A26" s="6" t="inlineStr">
        <is>
          <t>MS</t>
        </is>
      </c>
      <c r="B26" s="6" t="inlineStr">
        <is>
          <t>Mississippi</t>
        </is>
      </c>
      <c r="C26" s="6" t="inlineStr">
        <is>
          <t>Factory time (reasonable/adequate standard where stated)</t>
        </is>
      </c>
      <c r="D26" s="6" t="inlineStr">
        <is>
          <t>Not addressed</t>
        </is>
      </c>
      <c r="E26" s="6" t="inlineStr">
        <is>
          <t>Conditional</t>
        </is>
      </c>
      <c r="F26" s="6" t="inlineStr">
        <is>
          <t>Not addressed</t>
        </is>
      </c>
      <c r="G26" s="6" t="n">
        <v>30</v>
      </c>
      <c r="H26" s="6" t="inlineStr">
        <is>
          <t>Silent</t>
        </is>
      </c>
      <c r="I26" s="6" t="n">
        <v>30</v>
      </c>
      <c r="J26" s="6" t="n">
        <v>12</v>
      </c>
      <c r="K26" s="6" t="inlineStr">
        <is>
          <t>once per twelve-month period</t>
        </is>
      </c>
      <c r="L26" s="6" t="inlineStr">
        <is>
          <t>100 ROs or 90 days (fewer of the two samples); ROs &lt;= 180 days old</t>
        </is>
      </c>
      <c r="M26" s="6" t="n">
        <v>45</v>
      </c>
      <c r="N26" s="6" t="inlineStr">
        <is>
          <t>Yes</t>
        </is>
      </c>
      <c r="O26" s="6" t="inlineStr">
        <is>
          <t>2021 (eff. 2021-07-01)</t>
        </is>
      </c>
      <c r="P26" s="6" t="inlineStr"/>
      <c r="Q26" s="6" t="inlineStr">
        <is>
          <t>2026-10-06</t>
        </is>
      </c>
      <c r="R26" s="6" t="inlineStr">
        <is>
          <t>high</t>
        </is>
      </c>
    </row>
    <row r="27">
      <c r="A27" s="6" t="inlineStr">
        <is>
          <t>MT</t>
        </is>
      </c>
      <c r="B27" s="6" t="inlineStr">
        <is>
          <t>Montana</t>
        </is>
      </c>
      <c r="C27" s="6" t="inlineStr">
        <is>
          <t>Independent/retail time guide</t>
        </is>
      </c>
      <c r="D27" s="6" t="inlineStr">
        <is>
          <t>Not addressed</t>
        </is>
      </c>
      <c r="E27" s="6" t="inlineStr">
        <is>
          <t>Required</t>
        </is>
      </c>
      <c r="F27" s="6" t="inlineStr">
        <is>
          <t>Not addressed</t>
        </is>
      </c>
      <c r="G27" s="6" t="n">
        <v>30</v>
      </c>
      <c r="H27" s="6" t="inlineStr">
        <is>
          <t>Silent</t>
        </is>
      </c>
      <c r="I27" s="6" t="n">
        <v>30</v>
      </c>
      <c r="J27" s="6" t="n">
        <v>12</v>
      </c>
      <c r="K27" s="6" t="inlineStr">
        <is>
          <t>once per 12-month period</t>
        </is>
      </c>
      <c r="L27" s="6" t="inlineStr">
        <is>
          <t>100 ROs or 90 days (fewer of the two samples); ROs &lt;= 180 days old</t>
        </is>
      </c>
      <c r="M27" s="6" t="n">
        <v>30</v>
      </c>
      <c r="N27" s="6" t="inlineStr">
        <is>
          <t>Yes</t>
        </is>
      </c>
      <c r="O27" s="6" t="inlineStr">
        <is>
          <t>2025 (eff. 2025-10-01)</t>
        </is>
      </c>
      <c r="P27" s="6" t="inlineStr"/>
      <c r="Q27" s="6" t="inlineStr">
        <is>
          <t>2026-09-25</t>
        </is>
      </c>
      <c r="R27" s="6" t="inlineStr">
        <is>
          <t>high</t>
        </is>
      </c>
    </row>
    <row r="28">
      <c r="A28" s="6" t="inlineStr">
        <is>
          <t>NC</t>
        </is>
      </c>
      <c r="B28" s="6" t="inlineStr">
        <is>
          <t>North Carolina</t>
        </is>
      </c>
      <c r="C28" s="6" t="inlineStr">
        <is>
          <t>Factory time (reasonable/adequate standard where stated)</t>
        </is>
      </c>
      <c r="D28" s="6" t="inlineStr">
        <is>
          <t>Conditional</t>
        </is>
      </c>
      <c r="E28" s="6" t="inlineStr">
        <is>
          <t>Not addressed</t>
        </is>
      </c>
      <c r="F28" s="6" t="inlineStr">
        <is>
          <t>Not addressed</t>
        </is>
      </c>
      <c r="G28" s="6" t="n">
        <v>30</v>
      </c>
      <c r="H28" s="6" t="inlineStr">
        <is>
          <t>Yes</t>
        </is>
      </c>
      <c r="I28" s="6" t="n">
        <v>30</v>
      </c>
      <c r="J28" s="6" t="n">
        <v>12</v>
      </c>
      <c r="K28" s="6" t="inlineStr">
        <is>
          <t>Silent</t>
        </is>
      </c>
      <c r="L28" s="6" t="inlineStr">
        <is>
          <t>100 ROs or 60 days (fewer of the two samples); ROs &lt;= 180 days old</t>
        </is>
      </c>
      <c r="M28" s="6" t="n">
        <v>30</v>
      </c>
      <c r="N28" s="6" t="inlineStr">
        <is>
          <t>Yes</t>
        </is>
      </c>
      <c r="O28" s="6" t="inlineStr">
        <is>
          <t>2025 (eff. 2025-07-01)</t>
        </is>
      </c>
      <c r="P28" s="6" t="inlineStr"/>
      <c r="Q28" s="6" t="inlineStr">
        <is>
          <t>2026-09-25</t>
        </is>
      </c>
      <c r="R28" s="6" t="inlineStr">
        <is>
          <t>high</t>
        </is>
      </c>
    </row>
    <row r="29">
      <c r="A29" s="6" t="inlineStr">
        <is>
          <t>ND</t>
        </is>
      </c>
      <c r="B29" s="6" t="inlineStr">
        <is>
          <t>North Dakota</t>
        </is>
      </c>
      <c r="C29" s="6" t="inlineStr">
        <is>
          <t>Independent/retail time guide</t>
        </is>
      </c>
      <c r="D29" s="6" t="inlineStr">
        <is>
          <t>Required</t>
        </is>
      </c>
      <c r="E29" s="6" t="inlineStr">
        <is>
          <t>Required</t>
        </is>
      </c>
      <c r="F29" s="6" t="inlineStr">
        <is>
          <t>Conditional</t>
        </is>
      </c>
      <c r="G29" s="6" t="n">
        <v>30</v>
      </c>
      <c r="H29" s="6" t="inlineStr">
        <is>
          <t>Yes</t>
        </is>
      </c>
      <c r="I29" s="6" t="n">
        <v>30</v>
      </c>
      <c r="J29" s="6" t="n">
        <v>12</v>
      </c>
      <c r="K29" s="6" t="inlineStr">
        <is>
          <t>no demand within 12 months of the last labor-rate declaration (applies to dealer, manufacturer or distributor)</t>
        </is>
      </c>
      <c r="L29" s="6" t="inlineStr">
        <is>
          <t>100 ROs or 90 days (fewer of the two samples); ROs &lt;= 180 days old</t>
        </is>
      </c>
      <c r="M29" s="6" t="n">
        <v>30</v>
      </c>
      <c r="N29" s="6" t="inlineStr">
        <is>
          <t>Yes</t>
        </is>
      </c>
      <c r="O29" s="6" t="inlineStr">
        <is>
          <t>2025 (eff. 2025-08-01)</t>
        </is>
      </c>
      <c r="P29" s="6" t="inlineStr"/>
      <c r="Q29" s="6" t="inlineStr">
        <is>
          <t>2026-09-25</t>
        </is>
      </c>
      <c r="R29" s="6" t="inlineStr">
        <is>
          <t>high</t>
        </is>
      </c>
    </row>
    <row r="30">
      <c r="A30" s="6" t="inlineStr">
        <is>
          <t>NE</t>
        </is>
      </c>
      <c r="B30" s="6" t="inlineStr">
        <is>
          <t>Nebraska</t>
        </is>
      </c>
      <c r="C30" s="6" t="inlineStr">
        <is>
          <t>Factory time (reasonable/adequate standard where stated)</t>
        </is>
      </c>
      <c r="D30" s="6" t="inlineStr">
        <is>
          <t>Not addressed</t>
        </is>
      </c>
      <c r="E30" s="6" t="inlineStr">
        <is>
          <t>Not addressed</t>
        </is>
      </c>
      <c r="F30" s="6" t="inlineStr">
        <is>
          <t>Not addressed</t>
        </is>
      </c>
      <c r="G30" s="6" t="n">
        <v>30</v>
      </c>
      <c r="H30" s="6" t="inlineStr">
        <is>
          <t>Yes</t>
        </is>
      </c>
      <c r="I30" s="6" t="n">
        <v>30</v>
      </c>
      <c r="J30" s="6" t="n">
        <v>12</v>
      </c>
      <c r="K30" s="6" t="inlineStr">
        <is>
          <t>Silent</t>
        </is>
      </c>
      <c r="L30" s="6" t="inlineStr">
        <is>
          <t>No statutory labor-rate sample</t>
        </is>
      </c>
      <c r="M30" s="6" t="n">
        <v>30</v>
      </c>
      <c r="N30" s="6" t="inlineStr">
        <is>
          <t>Silent</t>
        </is>
      </c>
      <c r="O30" s="6" t="inlineStr">
        <is>
          <t>2026 (eff. 2026-10-01)</t>
        </is>
      </c>
      <c r="P30" s="6" t="inlineStr"/>
      <c r="Q30" s="6" t="inlineStr">
        <is>
          <t>2026-10-06</t>
        </is>
      </c>
      <c r="R30" s="6" t="inlineStr">
        <is>
          <t>high</t>
        </is>
      </c>
    </row>
    <row r="31">
      <c r="A31" s="6" t="inlineStr">
        <is>
          <t>NH</t>
        </is>
      </c>
      <c r="B31" s="6" t="inlineStr">
        <is>
          <t>New Hampshire</t>
        </is>
      </c>
      <c r="C31" s="6" t="inlineStr">
        <is>
          <t>Factory time (reasonable/adequate standard where stated)</t>
        </is>
      </c>
      <c r="D31" s="6" t="inlineStr">
        <is>
          <t>Required</t>
        </is>
      </c>
      <c r="E31" s="6" t="inlineStr">
        <is>
          <t>Required</t>
        </is>
      </c>
      <c r="F31" s="6" t="inlineStr">
        <is>
          <t>Not reached</t>
        </is>
      </c>
      <c r="G31" s="6" t="n">
        <v>30</v>
      </c>
      <c r="H31" s="6" t="inlineStr">
        <is>
          <t>Yes</t>
        </is>
      </c>
      <c r="I31" s="6" t="n">
        <v>30</v>
      </c>
      <c r="J31" s="6" t="n">
        <v>9</v>
      </c>
      <c r="K31" s="6" t="inlineStr">
        <is>
          <t>once per calendar year (average labor rate declaration)</t>
        </is>
      </c>
      <c r="L31" s="6" t="inlineStr">
        <is>
          <t>No statutory labor-rate sample</t>
        </is>
      </c>
      <c r="M31" s="6" t="inlineStr"/>
      <c r="N31" s="6" t="inlineStr">
        <is>
          <t>Silent</t>
        </is>
      </c>
      <c r="O31" s="6" t="inlineStr">
        <is>
          <t>2013 (eff. 2013-09-23)</t>
        </is>
      </c>
      <c r="P31" s="6" t="inlineStr"/>
      <c r="Q31" s="6" t="inlineStr">
        <is>
          <t>2026-09-25</t>
        </is>
      </c>
      <c r="R31" s="6" t="inlineStr">
        <is>
          <t>high</t>
        </is>
      </c>
    </row>
    <row r="32">
      <c r="A32" s="6" t="inlineStr">
        <is>
          <t>NJ</t>
        </is>
      </c>
      <c r="B32" s="6" t="inlineStr">
        <is>
          <t>New Jersey</t>
        </is>
      </c>
      <c r="C32" s="6" t="inlineStr">
        <is>
          <t>OEM time x multiplier</t>
        </is>
      </c>
      <c r="D32" s="6" t="inlineStr">
        <is>
          <t>Conditional</t>
        </is>
      </c>
      <c r="E32" s="6" t="inlineStr">
        <is>
          <t>Conditional</t>
        </is>
      </c>
      <c r="F32" s="6" t="inlineStr">
        <is>
          <t>Conditional</t>
        </is>
      </c>
      <c r="G32" s="6" t="n">
        <v>30</v>
      </c>
      <c r="H32" s="6" t="inlineStr">
        <is>
          <t>Silent</t>
        </is>
      </c>
      <c r="I32" s="6" t="n">
        <v>30</v>
      </c>
      <c r="J32" s="6" t="n">
        <v>12</v>
      </c>
      <c r="K32" s="6" t="inlineStr">
        <is>
          <t>no more than twice per calendar year. The cap is written jointly for requests to change the parts markup, labor time allowance, or retail labor rate.</t>
        </is>
      </c>
      <c r="L32" s="6" t="inlineStr">
        <is>
          <t>100 ROs or 90 days (fewer of the two samples); ROs &lt;= 180 days old</t>
        </is>
      </c>
      <c r="M32" s="6" t="inlineStr"/>
      <c r="N32" s="6" t="inlineStr">
        <is>
          <t>Yes</t>
        </is>
      </c>
      <c r="O32" s="6" t="inlineStr">
        <is>
          <t>2025 (eff. 2026-04-01)</t>
        </is>
      </c>
      <c r="P32" s="6" t="inlineStr"/>
      <c r="Q32" s="6" t="inlineStr">
        <is>
          <t>2026-10-06</t>
        </is>
      </c>
      <c r="R32" s="6" t="inlineStr">
        <is>
          <t>high</t>
        </is>
      </c>
    </row>
    <row r="33">
      <c r="A33" s="6" t="inlineStr">
        <is>
          <t>NM</t>
        </is>
      </c>
      <c r="B33" s="6" t="inlineStr">
        <is>
          <t>New Mexico</t>
        </is>
      </c>
      <c r="C33" s="6" t="inlineStr">
        <is>
          <t>Statute silent on time / not established</t>
        </is>
      </c>
      <c r="D33" s="6" t="inlineStr">
        <is>
          <t>Not addressed</t>
        </is>
      </c>
      <c r="E33" s="6" t="inlineStr">
        <is>
          <t>Not addressed</t>
        </is>
      </c>
      <c r="F33" s="6" t="inlineStr">
        <is>
          <t>Not addressed</t>
        </is>
      </c>
      <c r="G33" s="6" t="n">
        <v>30</v>
      </c>
      <c r="H33" s="6" t="inlineStr">
        <is>
          <t>Yes</t>
        </is>
      </c>
      <c r="I33" s="6" t="n">
        <v>30</v>
      </c>
      <c r="J33" s="6" t="n">
        <v>6</v>
      </c>
      <c r="K33" s="6" t="inlineStr">
        <is>
          <t>increase granted no more than twice in one calendar year</t>
        </is>
      </c>
      <c r="L33" s="6" t="inlineStr">
        <is>
          <t>100 ROs or 90 days (fewer of the two samples); ROs &lt;= 180 days old</t>
        </is>
      </c>
      <c r="M33" s="6" t="inlineStr"/>
      <c r="N33" s="6" t="inlineStr">
        <is>
          <t>Silent</t>
        </is>
      </c>
      <c r="O33" s="6" t="inlineStr">
        <is>
          <t>2018 (eff. 2018-03-01)</t>
        </is>
      </c>
      <c r="P33" s="6" t="inlineStr"/>
      <c r="Q33" s="6" t="inlineStr">
        <is>
          <t>2026-09-25</t>
        </is>
      </c>
      <c r="R33" s="6" t="inlineStr">
        <is>
          <t>high</t>
        </is>
      </c>
    </row>
    <row r="34">
      <c r="A34" s="6" t="inlineStr">
        <is>
          <t>NV</t>
        </is>
      </c>
      <c r="B34" s="6" t="inlineStr">
        <is>
          <t>Nevada</t>
        </is>
      </c>
      <c r="C34" s="6" t="inlineStr">
        <is>
          <t>Statute silent on time / not established</t>
        </is>
      </c>
      <c r="D34" s="6" t="inlineStr">
        <is>
          <t>Not addressed</t>
        </is>
      </c>
      <c r="E34" s="6" t="inlineStr">
        <is>
          <t>Not addressed</t>
        </is>
      </c>
      <c r="F34" s="6" t="inlineStr">
        <is>
          <t>Not addressed</t>
        </is>
      </c>
      <c r="G34" s="6" t="n">
        <v>30</v>
      </c>
      <c r="H34" s="6" t="inlineStr">
        <is>
          <t>Silent</t>
        </is>
      </c>
      <c r="I34" s="6" t="n">
        <v>30</v>
      </c>
      <c r="J34" s="6" t="n">
        <v>9</v>
      </c>
      <c r="K34" s="6" t="inlineStr">
        <is>
          <t>Silent</t>
        </is>
      </c>
      <c r="L34" s="6" t="inlineStr">
        <is>
          <t>No statutory labor-rate sample</t>
        </is>
      </c>
      <c r="M34" s="6" t="inlineStr"/>
      <c r="N34" s="6" t="inlineStr">
        <is>
          <t>Silent</t>
        </is>
      </c>
      <c r="O34" s="6" t="inlineStr">
        <is>
          <t>2017 (eff. 2017-06-01)</t>
        </is>
      </c>
      <c r="P34" s="6" t="inlineStr"/>
      <c r="Q34" s="6" t="inlineStr">
        <is>
          <t>2026-09-25</t>
        </is>
      </c>
      <c r="R34" s="6" t="inlineStr">
        <is>
          <t>high</t>
        </is>
      </c>
    </row>
    <row r="35">
      <c r="A35" s="6" t="inlineStr">
        <is>
          <t>NY</t>
        </is>
      </c>
      <c r="B35" s="6" t="inlineStr">
        <is>
          <t>New York</t>
        </is>
      </c>
      <c r="C35" s="6" t="inlineStr">
        <is>
          <t>Independent/retail time guide</t>
        </is>
      </c>
      <c r="D35" s="6" t="inlineStr">
        <is>
          <t>Required</t>
        </is>
      </c>
      <c r="E35" s="6" t="inlineStr">
        <is>
          <t>Conditional</t>
        </is>
      </c>
      <c r="F35" s="6" t="inlineStr">
        <is>
          <t>Not reached</t>
        </is>
      </c>
      <c r="G35" s="6" t="n">
        <v>30</v>
      </c>
      <c r="H35" s="6" t="inlineStr">
        <is>
          <t>Yes</t>
        </is>
      </c>
      <c r="I35" s="6" t="n">
        <v>30</v>
      </c>
      <c r="J35" s="6" t="n">
        <v>12</v>
      </c>
      <c r="K35" s="6" t="inlineStr">
        <is>
          <t>dealer may not request a change more than once each calendar year</t>
        </is>
      </c>
      <c r="L35" s="6" t="inlineStr">
        <is>
          <t>100 ROs or 90 days (fewer of the two samples); ROs &lt;= 180 days old</t>
        </is>
      </c>
      <c r="M35" s="6" t="inlineStr"/>
      <c r="N35" s="6" t="inlineStr">
        <is>
          <t>Yes</t>
        </is>
      </c>
      <c r="O35" s="6" t="inlineStr">
        <is>
          <t>2024 (eff. 2024-09-04)</t>
        </is>
      </c>
      <c r="P35" s="6" t="inlineStr"/>
      <c r="Q35" s="6" t="inlineStr">
        <is>
          <t>2026-10-06</t>
        </is>
      </c>
      <c r="R35" s="6" t="inlineStr">
        <is>
          <t>high</t>
        </is>
      </c>
    </row>
    <row r="36">
      <c r="A36" s="6" t="inlineStr">
        <is>
          <t>OH</t>
        </is>
      </c>
      <c r="B36" s="6" t="inlineStr">
        <is>
          <t>Ohio</t>
        </is>
      </c>
      <c r="C36" s="6" t="inlineStr">
        <is>
          <t>Factory time (reasonable/adequate standard where stated)</t>
        </is>
      </c>
      <c r="D36" s="6" t="inlineStr">
        <is>
          <t>Not addressed</t>
        </is>
      </c>
      <c r="E36" s="6" t="inlineStr">
        <is>
          <t>Not addressed</t>
        </is>
      </c>
      <c r="F36" s="6" t="inlineStr">
        <is>
          <t>Not addressed</t>
        </is>
      </c>
      <c r="G36" s="6" t="n">
        <v>45</v>
      </c>
      <c r="H36" s="6" t="inlineStr">
        <is>
          <t>Silent</t>
        </is>
      </c>
      <c r="I36" s="6" t="n">
        <v>30</v>
      </c>
      <c r="J36" s="6" t="n">
        <v>12</v>
      </c>
      <c r="K36" s="6" t="inlineStr">
        <is>
          <t>not more than once per calendar year</t>
        </is>
      </c>
      <c r="L36" s="6" t="inlineStr">
        <is>
          <t>100 ROs or 90 days (dealer chooses); ROs &lt;= 180 days old</t>
        </is>
      </c>
      <c r="M36" s="6" t="n">
        <v>30</v>
      </c>
      <c r="N36" s="6" t="inlineStr">
        <is>
          <t>Yes</t>
        </is>
      </c>
      <c r="O36" s="6" t="inlineStr">
        <is>
          <t>2025 (eff. 2025-09-30)</t>
        </is>
      </c>
      <c r="P36" s="6" t="inlineStr"/>
      <c r="Q36" s="6" t="inlineStr">
        <is>
          <t>2026-09-25</t>
        </is>
      </c>
      <c r="R36" s="6" t="inlineStr">
        <is>
          <t>high</t>
        </is>
      </c>
    </row>
    <row r="37">
      <c r="A37" s="6" t="inlineStr">
        <is>
          <t>OK</t>
        </is>
      </c>
      <c r="B37" s="6" t="inlineStr">
        <is>
          <t>Oklahoma</t>
        </is>
      </c>
      <c r="C37" s="6" t="inlineStr">
        <is>
          <t>Factory time (reasonable/adequate standard where stated)</t>
        </is>
      </c>
      <c r="D37" s="6" t="inlineStr">
        <is>
          <t>Not addressed</t>
        </is>
      </c>
      <c r="E37" s="6" t="inlineStr">
        <is>
          <t>Not addressed</t>
        </is>
      </c>
      <c r="F37" s="6" t="inlineStr">
        <is>
          <t>Not addressed</t>
        </is>
      </c>
      <c r="G37" s="6" t="n">
        <v>30</v>
      </c>
      <c r="H37" s="6" t="inlineStr">
        <is>
          <t>Silent</t>
        </is>
      </c>
      <c r="I37" s="6" t="n">
        <v>30</v>
      </c>
      <c r="J37" s="6" t="n">
        <v>12</v>
      </c>
      <c r="K37" s="6" t="inlineStr">
        <is>
          <t>dealer: once in a 12-month period; manufacturer may require validation ROs not more often than once every 12 months</t>
        </is>
      </c>
      <c r="L37" s="6" t="inlineStr">
        <is>
          <t>100 ROs or 90 days (fewer of the two samples); ROs &lt;= 180 days old</t>
        </is>
      </c>
      <c r="M37" s="6" t="n">
        <v>45</v>
      </c>
      <c r="N37" s="6" t="inlineStr">
        <is>
          <t>Silent</t>
        </is>
      </c>
      <c r="O37" s="6" t="inlineStr">
        <is>
          <t>2025 (eff. 2025-11-01)</t>
        </is>
      </c>
      <c r="P37" s="6" t="inlineStr"/>
      <c r="Q37" s="6" t="inlineStr">
        <is>
          <t>2026-10-06</t>
        </is>
      </c>
      <c r="R37" s="6" t="inlineStr">
        <is>
          <t>high</t>
        </is>
      </c>
    </row>
    <row r="38">
      <c r="A38" s="6" t="inlineStr">
        <is>
          <t>OR</t>
        </is>
      </c>
      <c r="B38" s="6" t="inlineStr">
        <is>
          <t>Oregon</t>
        </is>
      </c>
      <c r="C38" s="6" t="inlineStr">
        <is>
          <t>Factory time (reasonable/adequate standard where stated)</t>
        </is>
      </c>
      <c r="D38" s="6" t="inlineStr">
        <is>
          <t>Not addressed</t>
        </is>
      </c>
      <c r="E38" s="6" t="inlineStr">
        <is>
          <t>Not addressed</t>
        </is>
      </c>
      <c r="F38" s="6" t="inlineStr">
        <is>
          <t>Not addressed</t>
        </is>
      </c>
      <c r="G38" s="6" t="n">
        <v>30</v>
      </c>
      <c r="H38" s="6" t="inlineStr">
        <is>
          <t>Yes</t>
        </is>
      </c>
      <c r="I38" s="6" t="n">
        <v>30</v>
      </c>
      <c r="J38" s="6" t="n">
        <v>12</v>
      </c>
      <c r="K38" s="6" t="inlineStr">
        <is>
          <t>Franchises entered or renewed on or after 1/1/2026: 'Not more than once per year' the manufacturer may verify and the dealer may propose an increase. Pre-2026 text: only the manufacturer's verification is limited to once per year.</t>
        </is>
      </c>
      <c r="L38" s="6" t="inlineStr">
        <is>
          <t>100 ROs or 90 days (fewer of the two samples); ROs &lt;= 180 days old</t>
        </is>
      </c>
      <c r="M38" s="6" t="n">
        <v>30</v>
      </c>
      <c r="N38" s="6" t="inlineStr">
        <is>
          <t>Yes</t>
        </is>
      </c>
      <c r="O38" s="6" t="inlineStr">
        <is>
          <t>2025 (eff. 2026-01-01)</t>
        </is>
      </c>
      <c r="P38" s="6" t="inlineStr"/>
      <c r="Q38" s="6" t="inlineStr">
        <is>
          <t>2026-09-25</t>
        </is>
      </c>
      <c r="R38" s="6" t="inlineStr">
        <is>
          <t>high</t>
        </is>
      </c>
    </row>
    <row r="39">
      <c r="A39" s="6" t="inlineStr">
        <is>
          <t>PA</t>
        </is>
      </c>
      <c r="B39" s="6" t="inlineStr">
        <is>
          <t>Pennsylvania</t>
        </is>
      </c>
      <c r="C39" s="6" t="inlineStr">
        <is>
          <t>Factory time (reasonable/adequate standard where stated)</t>
        </is>
      </c>
      <c r="D39" s="6" t="inlineStr">
        <is>
          <t>Conditional</t>
        </is>
      </c>
      <c r="E39" s="6" t="inlineStr">
        <is>
          <t>Not addressed</t>
        </is>
      </c>
      <c r="F39" s="6" t="inlineStr">
        <is>
          <t>Conditional</t>
        </is>
      </c>
      <c r="G39" s="6" t="n">
        <v>30</v>
      </c>
      <c r="H39" s="6" t="inlineStr">
        <is>
          <t>Yes</t>
        </is>
      </c>
      <c r="I39" s="6" t="n">
        <v>30</v>
      </c>
      <c r="J39" s="6" t="n">
        <v>9</v>
      </c>
      <c r="K39" s="6" t="inlineStr">
        <is>
          <t>no more than once in one calendar year</t>
        </is>
      </c>
      <c r="L39" s="6" t="inlineStr">
        <is>
          <t>100 ROs or 90 days (fewer of the two samples); ROs &lt;= 180 days old</t>
        </is>
      </c>
      <c r="M39" s="6" t="n">
        <v>60</v>
      </c>
      <c r="N39" s="6" t="inlineStr">
        <is>
          <t>Yes</t>
        </is>
      </c>
      <c r="O39" s="6" t="inlineStr">
        <is>
          <t>2018 (eff. 2019-10-24)</t>
        </is>
      </c>
      <c r="P39" s="6" t="inlineStr"/>
      <c r="Q39" s="6" t="inlineStr">
        <is>
          <t>2026-10-06</t>
        </is>
      </c>
      <c r="R39" s="6" t="inlineStr">
        <is>
          <t>high</t>
        </is>
      </c>
    </row>
    <row r="40">
      <c r="A40" s="6" t="inlineStr">
        <is>
          <t>RI</t>
        </is>
      </c>
      <c r="B40" s="6" t="inlineStr">
        <is>
          <t>Rhode Island</t>
        </is>
      </c>
      <c r="C40" s="6" t="inlineStr">
        <is>
          <t>Actual technician time</t>
        </is>
      </c>
      <c r="D40" s="6" t="inlineStr">
        <is>
          <t>Not addressed</t>
        </is>
      </c>
      <c r="E40" s="6" t="inlineStr">
        <is>
          <t>Required</t>
        </is>
      </c>
      <c r="F40" s="6" t="inlineStr">
        <is>
          <t>Not addressed</t>
        </is>
      </c>
      <c r="G40" s="6" t="n">
        <v>30</v>
      </c>
      <c r="H40" s="6" t="inlineStr">
        <is>
          <t>Yes</t>
        </is>
      </c>
      <c r="I40" s="6" t="n">
        <v>30</v>
      </c>
      <c r="J40" s="6" t="n">
        <v>12</v>
      </c>
      <c r="K40" s="6" t="inlineStr">
        <is>
          <t>no more than twice in one calendar year</t>
        </is>
      </c>
      <c r="L40" s="6" t="inlineStr">
        <is>
          <t>All qualifying ROs, prior calendar month</t>
        </is>
      </c>
      <c r="M40" s="6" t="n">
        <v>30</v>
      </c>
      <c r="N40" s="6" t="inlineStr">
        <is>
          <t>Yes</t>
        </is>
      </c>
      <c r="O40" s="6" t="inlineStr">
        <is>
          <t>2026 (eff. 2026-10-01)</t>
        </is>
      </c>
      <c r="P40" s="6" t="inlineStr"/>
      <c r="Q40" s="6" t="inlineStr">
        <is>
          <t>2026-10-06</t>
        </is>
      </c>
      <c r="R40" s="6" t="inlineStr">
        <is>
          <t>high</t>
        </is>
      </c>
    </row>
    <row r="41">
      <c r="A41" s="6" t="inlineStr">
        <is>
          <t>SC</t>
        </is>
      </c>
      <c r="B41" s="6" t="inlineStr">
        <is>
          <t>South Carolina</t>
        </is>
      </c>
      <c r="C41" s="6" t="inlineStr">
        <is>
          <t>Statute silent on time / not established</t>
        </is>
      </c>
      <c r="D41" s="6" t="inlineStr">
        <is>
          <t>Not addressed</t>
        </is>
      </c>
      <c r="E41" s="6" t="inlineStr">
        <is>
          <t>Not addressed</t>
        </is>
      </c>
      <c r="F41" s="6" t="inlineStr">
        <is>
          <t>Not addressed</t>
        </is>
      </c>
      <c r="G41" s="6" t="n">
        <v>30</v>
      </c>
      <c r="H41" s="6" t="inlineStr">
        <is>
          <t>Yes</t>
        </is>
      </c>
      <c r="I41" s="6" t="n">
        <v>30</v>
      </c>
      <c r="J41" s="6" t="n">
        <v>12</v>
      </c>
      <c r="K41" s="6" t="inlineStr">
        <is>
          <t>not more than once in any 12-month period</t>
        </is>
      </c>
      <c r="L41" s="6" t="inlineStr">
        <is>
          <t>100 ROs or 90 days (fewer of the two samples); ROs &lt;= 180 days old</t>
        </is>
      </c>
      <c r="M41" s="6" t="inlineStr"/>
      <c r="N41" s="6" t="inlineStr">
        <is>
          <t>Silent</t>
        </is>
      </c>
      <c r="O41" s="6" t="inlineStr">
        <is>
          <t>2021 (eff. 2021-08-04)</t>
        </is>
      </c>
      <c r="P41" s="6" t="inlineStr"/>
      <c r="Q41" s="6" t="inlineStr">
        <is>
          <t>2026-09-25</t>
        </is>
      </c>
      <c r="R41" s="6" t="inlineStr">
        <is>
          <t>high</t>
        </is>
      </c>
    </row>
    <row r="42">
      <c r="A42" s="6" t="inlineStr">
        <is>
          <t>SD</t>
        </is>
      </c>
      <c r="B42" s="6" t="inlineStr">
        <is>
          <t>South Dakota</t>
        </is>
      </c>
      <c r="C42" s="6" t="inlineStr">
        <is>
          <t>Factory time (reasonable/adequate standard where stated)</t>
        </is>
      </c>
      <c r="D42" s="6" t="inlineStr">
        <is>
          <t>Not addressed</t>
        </is>
      </c>
      <c r="E42" s="6" t="inlineStr">
        <is>
          <t>Not addressed</t>
        </is>
      </c>
      <c r="F42" s="6" t="inlineStr">
        <is>
          <t>Not addressed</t>
        </is>
      </c>
      <c r="G42" s="6" t="n">
        <v>30</v>
      </c>
      <c r="H42" s="6" t="inlineStr">
        <is>
          <t>Silent</t>
        </is>
      </c>
      <c r="I42" s="6" t="n">
        <v>30</v>
      </c>
      <c r="J42" s="6" t="n">
        <v>12</v>
      </c>
      <c r="K42" s="6" t="inlineStr">
        <is>
          <t>Silent</t>
        </is>
      </c>
      <c r="L42" s="6" t="inlineStr">
        <is>
          <t>No statutory labor-rate sample</t>
        </is>
      </c>
      <c r="M42" s="6" t="inlineStr"/>
      <c r="N42" s="6" t="inlineStr">
        <is>
          <t>Silent</t>
        </is>
      </c>
      <c r="O42" s="6" t="inlineStr">
        <is>
          <t>2023 (eff. 2023-07-01)</t>
        </is>
      </c>
      <c r="P42" s="6" t="inlineStr"/>
      <c r="Q42" s="6" t="inlineStr">
        <is>
          <t>2026-09-25</t>
        </is>
      </c>
      <c r="R42" s="6" t="inlineStr">
        <is>
          <t>high</t>
        </is>
      </c>
    </row>
    <row r="43">
      <c r="A43" s="6" t="inlineStr">
        <is>
          <t>TN</t>
        </is>
      </c>
      <c r="B43" s="6" t="inlineStr">
        <is>
          <t>Tennessee</t>
        </is>
      </c>
      <c r="C43" s="6" t="inlineStr">
        <is>
          <t>Factory time (reasonable/adequate standard where stated)</t>
        </is>
      </c>
      <c r="D43" s="6" t="inlineStr">
        <is>
          <t>Not addressed</t>
        </is>
      </c>
      <c r="E43" s="6" t="inlineStr">
        <is>
          <t>Not addressed</t>
        </is>
      </c>
      <c r="F43" s="6" t="inlineStr">
        <is>
          <t>Not addressed</t>
        </is>
      </c>
      <c r="G43" s="6" t="n">
        <v>60</v>
      </c>
      <c r="H43" s="6" t="inlineStr">
        <is>
          <t>Yes</t>
        </is>
      </c>
      <c r="I43" s="6" t="inlineStr"/>
      <c r="J43" s="6" t="n">
        <v>12</v>
      </c>
      <c r="K43" s="6" t="inlineStr">
        <is>
          <t>Silent</t>
        </is>
      </c>
      <c r="L43" s="6" t="inlineStr">
        <is>
          <t>No statutory labor-rate sample</t>
        </is>
      </c>
      <c r="M43" s="6" t="n">
        <v>30</v>
      </c>
      <c r="N43" s="6" t="inlineStr">
        <is>
          <t>Silent</t>
        </is>
      </c>
      <c r="O43" s="6" t="inlineStr">
        <is>
          <t>2021 (eff. 2021-07-01)</t>
        </is>
      </c>
      <c r="P43" s="6" t="inlineStr"/>
      <c r="Q43" s="6" t="inlineStr">
        <is>
          <t>2026-10-06</t>
        </is>
      </c>
      <c r="R43" s="6" t="inlineStr">
        <is>
          <t>medium</t>
        </is>
      </c>
    </row>
    <row r="44">
      <c r="A44" s="6" t="inlineStr">
        <is>
          <t>TX</t>
        </is>
      </c>
      <c r="B44" s="6" t="inlineStr">
        <is>
          <t>Texas</t>
        </is>
      </c>
      <c r="C44" s="6" t="inlineStr">
        <is>
          <t>Statute silent on time / not established</t>
        </is>
      </c>
      <c r="D44" s="6" t="inlineStr">
        <is>
          <t>Not addressed</t>
        </is>
      </c>
      <c r="E44" s="6" t="inlineStr">
        <is>
          <t>Not addressed</t>
        </is>
      </c>
      <c r="F44" s="6" t="inlineStr">
        <is>
          <t>Not addressed</t>
        </is>
      </c>
      <c r="G44" s="6" t="n">
        <v>30</v>
      </c>
      <c r="H44" s="6" t="inlineStr">
        <is>
          <t>Yes</t>
        </is>
      </c>
      <c r="I44" s="6" t="n">
        <v>30</v>
      </c>
      <c r="J44" s="6" t="n">
        <v>12</v>
      </c>
      <c r="K44" s="6" t="inlineStr">
        <is>
          <t>Once a year, except by agreement of the parties</t>
        </is>
      </c>
      <c r="L44" s="6" t="inlineStr">
        <is>
          <t>100 ROs or 90 days (sample with the higher rate); ROs &lt;= 180 days old</t>
        </is>
      </c>
      <c r="M44" s="6" t="n">
        <v>60</v>
      </c>
      <c r="N44" s="6" t="inlineStr">
        <is>
          <t>No</t>
        </is>
      </c>
      <c r="O44" s="6" t="inlineStr">
        <is>
          <t>2001 (eff. 2003-06-01)</t>
        </is>
      </c>
      <c r="P44" s="6" t="inlineStr"/>
      <c r="Q44" s="6" t="inlineStr">
        <is>
          <t>2026-10-06</t>
        </is>
      </c>
      <c r="R44" s="6" t="inlineStr">
        <is>
          <t>high</t>
        </is>
      </c>
    </row>
    <row r="45">
      <c r="A45" s="6" t="inlineStr">
        <is>
          <t>UT</t>
        </is>
      </c>
      <c r="B45" s="6" t="inlineStr">
        <is>
          <t>Utah</t>
        </is>
      </c>
      <c r="C45" s="6" t="inlineStr">
        <is>
          <t>Factory time (reasonable/adequate standard where stated)</t>
        </is>
      </c>
      <c r="D45" s="6" t="inlineStr">
        <is>
          <t>Not addressed</t>
        </is>
      </c>
      <c r="E45" s="6" t="inlineStr">
        <is>
          <t>Not addressed</t>
        </is>
      </c>
      <c r="F45" s="6" t="inlineStr">
        <is>
          <t>Not addressed</t>
        </is>
      </c>
      <c r="G45" s="6" t="n">
        <v>30</v>
      </c>
      <c r="H45" s="6" t="inlineStr">
        <is>
          <t>Yes</t>
        </is>
      </c>
      <c r="I45" s="6" t="n">
        <v>30</v>
      </c>
      <c r="J45" s="6" t="n">
        <v>6</v>
      </c>
      <c r="K45" s="6" t="inlineStr">
        <is>
          <t>Once in a 12-month period (labor rate and parts markup each)</t>
        </is>
      </c>
      <c r="L45" s="6" t="inlineStr">
        <is>
          <t>100 ROs or 90 days (fewer of the two samples); ROs &lt;= 180 days old</t>
        </is>
      </c>
      <c r="M45" s="6" t="n">
        <v>30</v>
      </c>
      <c r="N45" s="6" t="inlineStr">
        <is>
          <t>Yes</t>
        </is>
      </c>
      <c r="O45" s="6" t="inlineStr">
        <is>
          <t>2023 (eff. 2023-05-03)</t>
        </is>
      </c>
      <c r="P45" s="6" t="inlineStr"/>
      <c r="Q45" s="6" t="inlineStr">
        <is>
          <t>2026-10-06</t>
        </is>
      </c>
      <c r="R45" s="6" t="inlineStr">
        <is>
          <t>high</t>
        </is>
      </c>
    </row>
    <row r="46">
      <c r="A46" s="6" t="inlineStr">
        <is>
          <t>VA</t>
        </is>
      </c>
      <c r="B46" s="6" t="inlineStr">
        <is>
          <t>Virginia</t>
        </is>
      </c>
      <c r="C46" s="6" t="inlineStr">
        <is>
          <t>Statute silent on time / not established</t>
        </is>
      </c>
      <c r="D46" s="6" t="inlineStr">
        <is>
          <t>Conditional</t>
        </is>
      </c>
      <c r="E46" s="6" t="inlineStr">
        <is>
          <t>Conditional</t>
        </is>
      </c>
      <c r="F46" s="6" t="inlineStr">
        <is>
          <t>Not addressed</t>
        </is>
      </c>
      <c r="G46" s="6" t="n">
        <v>30</v>
      </c>
      <c r="H46" s="6" t="inlineStr">
        <is>
          <t>Silent</t>
        </is>
      </c>
      <c r="I46" s="6" t="n">
        <v>30</v>
      </c>
      <c r="J46" s="6" t="n">
        <v>6</v>
      </c>
      <c r="K46" s="6" t="inlineStr">
        <is>
          <t>Silent</t>
        </is>
      </c>
      <c r="L46" s="6" t="inlineStr">
        <is>
          <t>100 ROs or 90 days (fewer of the two samples)</t>
        </is>
      </c>
      <c r="M46" s="6" t="inlineStr"/>
      <c r="N46" s="6" t="inlineStr">
        <is>
          <t>Silent</t>
        </is>
      </c>
      <c r="O46" s="6" t="inlineStr">
        <is>
          <t>2025 (eff. 2025-07-01)</t>
        </is>
      </c>
      <c r="P46" s="6" t="inlineStr"/>
      <c r="Q46" s="6" t="inlineStr">
        <is>
          <t>2026-09-25</t>
        </is>
      </c>
      <c r="R46" s="6" t="inlineStr">
        <is>
          <t>high</t>
        </is>
      </c>
    </row>
    <row r="47">
      <c r="A47" s="6" t="inlineStr">
        <is>
          <t>VT</t>
        </is>
      </c>
      <c r="B47" s="6" t="inlineStr">
        <is>
          <t>Vermont</t>
        </is>
      </c>
      <c r="C47" s="6" t="inlineStr">
        <is>
          <t>Factory time (reasonable/adequate standard where stated)</t>
        </is>
      </c>
      <c r="D47" s="6" t="inlineStr">
        <is>
          <t>Not addressed</t>
        </is>
      </c>
      <c r="E47" s="6" t="inlineStr">
        <is>
          <t>Not addressed</t>
        </is>
      </c>
      <c r="F47" s="6" t="inlineStr">
        <is>
          <t>Not addressed</t>
        </is>
      </c>
      <c r="G47" s="6" t="n">
        <v>45</v>
      </c>
      <c r="H47" s="6" t="inlineStr">
        <is>
          <t>Yes</t>
        </is>
      </c>
      <c r="I47" s="6" t="n">
        <v>45</v>
      </c>
      <c r="J47" s="6" t="n">
        <v>12</v>
      </c>
      <c r="K47" s="6" t="inlineStr">
        <is>
          <t>Silent</t>
        </is>
      </c>
      <c r="L47" s="6" t="inlineStr">
        <is>
          <t>No statutory labor-rate sample</t>
        </is>
      </c>
      <c r="M47" s="6" t="inlineStr"/>
      <c r="N47" s="6" t="inlineStr">
        <is>
          <t>Silent</t>
        </is>
      </c>
      <c r="O47" s="6" t="inlineStr">
        <is>
          <t>2021 (eff. 2021-06-07)</t>
        </is>
      </c>
      <c r="P47" s="6" t="inlineStr"/>
      <c r="Q47" s="6" t="inlineStr">
        <is>
          <t>2026-09-25</t>
        </is>
      </c>
      <c r="R47" s="6" t="inlineStr">
        <is>
          <t>high</t>
        </is>
      </c>
    </row>
    <row r="48">
      <c r="A48" s="6" t="inlineStr">
        <is>
          <t>WA</t>
        </is>
      </c>
      <c r="B48" s="6" t="inlineStr">
        <is>
          <t>Washington</t>
        </is>
      </c>
      <c r="C48" s="6" t="inlineStr">
        <is>
          <t>Statute silent on time / not established</t>
        </is>
      </c>
      <c r="D48" s="6" t="inlineStr">
        <is>
          <t>Not addressed</t>
        </is>
      </c>
      <c r="E48" s="6" t="inlineStr">
        <is>
          <t>Not addressed</t>
        </is>
      </c>
      <c r="F48" s="6" t="inlineStr">
        <is>
          <t>Not addressed</t>
        </is>
      </c>
      <c r="G48" s="6" t="n">
        <v>30</v>
      </c>
      <c r="H48" s="6" t="inlineStr">
        <is>
          <t>Yes</t>
        </is>
      </c>
      <c r="I48" s="6" t="n">
        <v>30</v>
      </c>
      <c r="J48" s="6" t="n">
        <v>9</v>
      </c>
      <c r="K48" s="6" t="inlineStr">
        <is>
          <t>One increase per calendar year (labor/diagnostic rate and parts markup each)</t>
        </is>
      </c>
      <c r="L48" s="6" t="inlineStr">
        <is>
          <t>No statutory labor-rate sample</t>
        </is>
      </c>
      <c r="M48" s="6" t="inlineStr"/>
      <c r="N48" s="6" t="inlineStr">
        <is>
          <t>Silent</t>
        </is>
      </c>
      <c r="O48" s="6" t="inlineStr">
        <is>
          <t>2014 (eff. 2014-06-12)</t>
        </is>
      </c>
      <c r="P48" s="6" t="inlineStr"/>
      <c r="Q48" s="6" t="inlineStr">
        <is>
          <t>2026-10-06</t>
        </is>
      </c>
      <c r="R48" s="6" t="inlineStr">
        <is>
          <t>high</t>
        </is>
      </c>
    </row>
    <row r="49">
      <c r="A49" s="6" t="inlineStr">
        <is>
          <t>WI</t>
        </is>
      </c>
      <c r="B49" s="6" t="inlineStr">
        <is>
          <t>Wisconsin</t>
        </is>
      </c>
      <c r="C49" s="6" t="inlineStr">
        <is>
          <t>Negotiated/other</t>
        </is>
      </c>
      <c r="D49" s="6" t="inlineStr">
        <is>
          <t>Conditional</t>
        </is>
      </c>
      <c r="E49" s="6" t="inlineStr">
        <is>
          <t>Conditional</t>
        </is>
      </c>
      <c r="F49" s="6" t="inlineStr">
        <is>
          <t>Not addressed</t>
        </is>
      </c>
      <c r="G49" s="6" t="n">
        <v>30</v>
      </c>
      <c r="H49" s="6" t="inlineStr">
        <is>
          <t>Yes</t>
        </is>
      </c>
      <c r="I49" s="6" t="n">
        <v>30</v>
      </c>
      <c r="J49" s="6" t="n">
        <v>12</v>
      </c>
      <c r="K49" s="6" t="inlineStr">
        <is>
          <t>Silent</t>
        </is>
      </c>
      <c r="L49" s="6" t="inlineStr">
        <is>
          <t>100 ROs or 90 days (fewer of the two samples); ROs &lt;= 180 days old; OEM-hour denominator</t>
        </is>
      </c>
      <c r="M49" s="6" t="n">
        <v>30</v>
      </c>
      <c r="N49" s="6" t="inlineStr">
        <is>
          <t>Silent</t>
        </is>
      </c>
      <c r="O49" s="6" t="inlineStr">
        <is>
          <t>2018 (eff. 2018-04-05)</t>
        </is>
      </c>
      <c r="P49" s="6" t="inlineStr"/>
      <c r="Q49" s="6" t="inlineStr">
        <is>
          <t>2026-10-06</t>
        </is>
      </c>
      <c r="R49" s="6" t="inlineStr">
        <is>
          <t>high</t>
        </is>
      </c>
    </row>
    <row r="50">
      <c r="A50" s="6" t="inlineStr">
        <is>
          <t>WV</t>
        </is>
      </c>
      <c r="B50" s="6" t="inlineStr">
        <is>
          <t>West Virginia</t>
        </is>
      </c>
      <c r="C50" s="6" t="inlineStr">
        <is>
          <t>Factory time (reasonable/adequate standard where stated)</t>
        </is>
      </c>
      <c r="D50" s="6" t="inlineStr">
        <is>
          <t>Not addressed</t>
        </is>
      </c>
      <c r="E50" s="6" t="inlineStr">
        <is>
          <t>Not addressed</t>
        </is>
      </c>
      <c r="F50" s="6" t="inlineStr">
        <is>
          <t>Not addressed</t>
        </is>
      </c>
      <c r="G50" s="6" t="n">
        <v>30</v>
      </c>
      <c r="H50" s="6" t="inlineStr">
        <is>
          <t>Silent</t>
        </is>
      </c>
      <c r="I50" s="6" t="n">
        <v>30</v>
      </c>
      <c r="J50" s="6" t="n">
        <v>12</v>
      </c>
      <c r="K50" s="6" t="inlineStr">
        <is>
          <t>Demand (by dealer or manufacturer) not within 12 months of the last labor-rate declaration</t>
        </is>
      </c>
      <c r="L50" s="6" t="inlineStr">
        <is>
          <t>100 ROs or 90 days (dealer chooses); ROs &lt;= 180 days old</t>
        </is>
      </c>
      <c r="M50" s="6" t="n">
        <v>30</v>
      </c>
      <c r="N50" s="6" t="inlineStr">
        <is>
          <t>Yes</t>
        </is>
      </c>
      <c r="O50" s="6" t="inlineStr">
        <is>
          <t>2024 (eff. 2024-06-05)</t>
        </is>
      </c>
      <c r="P50" s="6" t="inlineStr"/>
      <c r="Q50" s="6" t="inlineStr">
        <is>
          <t>2026-10-06</t>
        </is>
      </c>
      <c r="R50" s="6" t="inlineStr">
        <is>
          <t>high</t>
        </is>
      </c>
    </row>
    <row r="51">
      <c r="A51" s="6" t="inlineStr">
        <is>
          <t>WY</t>
        </is>
      </c>
      <c r="B51" s="6" t="inlineStr">
        <is>
          <t>Wyoming</t>
        </is>
      </c>
      <c r="C51" s="6" t="inlineStr">
        <is>
          <t>Factory time (reasonable/adequate standard where stated)</t>
        </is>
      </c>
      <c r="D51" s="6" t="inlineStr">
        <is>
          <t>Not addressed</t>
        </is>
      </c>
      <c r="E51" s="6" t="inlineStr">
        <is>
          <t>Not addressed</t>
        </is>
      </c>
      <c r="F51" s="6" t="inlineStr">
        <is>
          <t>Not addressed</t>
        </is>
      </c>
      <c r="G51" s="6" t="n">
        <v>30</v>
      </c>
      <c r="H51" s="6" t="inlineStr">
        <is>
          <t>Yes</t>
        </is>
      </c>
      <c r="I51" s="6" t="n">
        <v>30</v>
      </c>
      <c r="J51" s="6" t="n">
        <v>12</v>
      </c>
      <c r="K51" s="6" t="inlineStr">
        <is>
          <t>Once every 12 months unless by mutual agreement</t>
        </is>
      </c>
      <c r="L51" s="6" t="inlineStr">
        <is>
          <t>100 ROs or 90 days (fewer of the two samples); ROs &lt;= 180 days old</t>
        </is>
      </c>
      <c r="M51" s="6" t="n">
        <v>30</v>
      </c>
      <c r="N51" s="6" t="inlineStr">
        <is>
          <t>Yes</t>
        </is>
      </c>
      <c r="O51" s="6" t="inlineStr">
        <is>
          <t>2025 (eff. 2025-07-01)</t>
        </is>
      </c>
      <c r="P51" s="6" t="inlineStr"/>
      <c r="Q51" s="6" t="inlineStr">
        <is>
          <t>2026-09-25</t>
        </is>
      </c>
      <c r="R51" s="6" t="inlineStr">
        <is>
          <t>high</t>
        </is>
      </c>
    </row>
  </sheetData>
  <autoFilter ref="A1:R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4" customWidth="1" min="2" max="2"/>
    <col width="14" customWidth="1" min="3" max="3"/>
    <col width="30" customWidth="1" min="4" max="4"/>
    <col width="26" customWidth="1" min="5" max="5"/>
    <col width="50" customWidth="1" min="6" max="6"/>
    <col width="60" customWidth="1" min="7" max="7"/>
    <col width="22" customWidth="1" min="8" max="8"/>
    <col width="28" customWidth="1" min="9" max="9"/>
    <col width="11" customWidth="1" min="10" max="10"/>
    <col width="12" customWidth="1" min="11" max="11"/>
    <col width="40" customWidth="1" min="12" max="12"/>
  </cols>
  <sheetData>
    <row r="1" ht="32" customHeight="1">
      <c r="A1" s="4" t="inlineStr">
        <is>
          <t>State</t>
        </is>
      </c>
      <c r="B1" s="4" t="inlineStr">
        <is>
          <t>Coverage type</t>
        </is>
      </c>
      <c r="C1" s="4" t="inlineStr">
        <is>
          <t>Status</t>
        </is>
      </c>
      <c r="D1" s="4" t="inlineStr">
        <is>
          <t>Paid hours</t>
        </is>
      </c>
      <c r="E1" s="4" t="inlineStr">
        <is>
          <t>Date note</t>
        </is>
      </c>
      <c r="F1" s="4" t="inlineStr">
        <is>
          <t>Hourly rate method (factory)</t>
        </is>
      </c>
      <c r="G1" s="4" t="inlineStr">
        <is>
          <t>Statute quote</t>
        </is>
      </c>
      <c r="H1" s="4" t="inlineStr">
        <is>
          <t>Pinpoint</t>
        </is>
      </c>
      <c r="I1" s="4" t="inlineStr">
        <is>
          <t>Primary cite</t>
        </is>
      </c>
      <c r="J1" s="4" t="inlineStr">
        <is>
          <t>Confidence</t>
        </is>
      </c>
      <c r="K1" s="4" t="inlineStr">
        <is>
          <t>Source type</t>
        </is>
      </c>
      <c r="L1" s="4" t="inlineStr">
        <is>
          <t>Official URL</t>
        </is>
      </c>
    </row>
    <row r="2">
      <c r="A2" s="6" t="inlineStr">
        <is>
          <t>AK</t>
        </is>
      </c>
      <c r="B2" s="6" t="inlineStr">
        <is>
          <t>Factory warranty</t>
        </is>
      </c>
      <c r="C2" s="6" t="inlineStr">
        <is>
          <t>Required</t>
        </is>
      </c>
      <c r="D2" s="6" t="inlineStr">
        <is>
          <t>Independent/retail time guide</t>
        </is>
      </c>
      <c r="E2" s="6" t="inlineStr"/>
      <c r="F2" s="6" t="inlineStr">
        <is>
          <t>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is>
      </c>
      <c r="G2" s="6" t="inlineStr">
        <is>
          <t>Unless otherwise agreed to by the manufacturer and the new motor vehicle dealer, the schedule of compensation may not contain ... (2) time allowances less than time allowances provided in independent labor time guides.</t>
        </is>
      </c>
      <c r="H2" s="6" t="inlineStr">
        <is>
          <t>§ 45.25.210(c)(2)</t>
        </is>
      </c>
      <c r="I2" s="6" t="inlineStr">
        <is>
          <t>Alaska Stat. § 45.25.210 (see also § 45.25.200)</t>
        </is>
      </c>
      <c r="J2" s="6" t="inlineStr">
        <is>
          <t>high</t>
        </is>
      </c>
      <c r="K2" s="6" t="inlineStr">
        <is>
          <t>official</t>
        </is>
      </c>
      <c r="L2" s="6" t="inlineStr">
        <is>
          <t>https://www.akleg.gov/basis/statutes.asp?media=print&amp;secStart=45.25.010&amp;secEnd=45.25.990</t>
        </is>
      </c>
    </row>
    <row r="3">
      <c r="A3" s="6" t="inlineStr">
        <is>
          <t>AK</t>
        </is>
      </c>
      <c r="B3" s="6" t="inlineStr">
        <is>
          <t>Mfr-backed service contract</t>
        </is>
      </c>
      <c r="C3" s="6" t="inlineStr">
        <is>
          <t>Not reached</t>
        </is>
      </c>
      <c r="D3" s="6" t="inlineStr">
        <is>
          <t>-</t>
        </is>
      </c>
      <c r="E3" s="6" t="inlineStr"/>
      <c r="F3" s="6" t="inlineStr"/>
      <c r="G3" s="6" t="inlineStr">
        <is>
          <t>"warranty work" (A) means repairs that are covered under a manufacturer's warranty or a recall; ... (C) does not mean work under a separate service contract.</t>
        </is>
      </c>
      <c r="H3" s="6" t="inlineStr">
        <is>
          <t>§ 45.25.990(23)(A), (C)</t>
        </is>
      </c>
      <c r="I3" s="6" t="inlineStr">
        <is>
          <t>Alaska Stat. § 45.25.210 (see also § 45.25.200)</t>
        </is>
      </c>
      <c r="J3" s="6" t="inlineStr">
        <is>
          <t>high</t>
        </is>
      </c>
      <c r="K3" s="6" t="inlineStr">
        <is>
          <t>official</t>
        </is>
      </c>
      <c r="L3" s="6" t="inlineStr">
        <is>
          <t>https://www.akleg.gov/basis/statutes.asp?media=print&amp;secStart=45.25.010&amp;secEnd=45.25.990</t>
        </is>
      </c>
    </row>
    <row r="4">
      <c r="A4" s="6" t="inlineStr">
        <is>
          <t>AK</t>
        </is>
      </c>
      <c r="B4" s="6" t="inlineStr">
        <is>
          <t>CPO warranty</t>
        </is>
      </c>
      <c r="C4" s="6" t="inlineStr">
        <is>
          <t>Not addressed</t>
        </is>
      </c>
      <c r="D4" s="6" t="inlineStr">
        <is>
          <t>-</t>
        </is>
      </c>
      <c r="E4" s="6" t="inlineStr"/>
      <c r="F4" s="6" t="inlineStr"/>
      <c r="G4" s="6" t="inlineStr">
        <is>
          <t>(A) means repairs that are covered under a manufacturer's warranty or a recall;</t>
        </is>
      </c>
      <c r="H4" s="6" t="inlineStr">
        <is>
          <t>§ 45.25.990(23)(A)</t>
        </is>
      </c>
      <c r="I4" s="6" t="inlineStr">
        <is>
          <t>Alaska Stat. § 45.25.210 (see also § 45.25.200)</t>
        </is>
      </c>
      <c r="J4" s="6" t="inlineStr">
        <is>
          <t>high</t>
        </is>
      </c>
      <c r="K4" s="6" t="inlineStr">
        <is>
          <t>official</t>
        </is>
      </c>
      <c r="L4" s="6" t="inlineStr">
        <is>
          <t>https://www.akleg.gov/basis/statutes.asp?media=print&amp;secStart=45.25.010&amp;secEnd=45.25.990</t>
        </is>
      </c>
    </row>
    <row r="5">
      <c r="A5" s="6" t="inlineStr">
        <is>
          <t>AK</t>
        </is>
      </c>
      <c r="B5" s="6" t="inlineStr">
        <is>
          <t>Independent service contract</t>
        </is>
      </c>
      <c r="C5" s="6" t="inlineStr">
        <is>
          <t>Not reached</t>
        </is>
      </c>
      <c r="D5" s="6" t="inlineStr">
        <is>
          <t>-</t>
        </is>
      </c>
      <c r="E5" s="6" t="inlineStr"/>
      <c r="F5" s="6" t="inlineStr"/>
      <c r="G5" s="6" t="inlineStr">
        <is>
          <t>"warranty work" (A) means repairs that are covered under a manufacturer's warranty or a recall; ... (C) does not mean work under a separate service contract.</t>
        </is>
      </c>
      <c r="H5" s="6" t="inlineStr">
        <is>
          <t>§ 45.25.990(23)(C)</t>
        </is>
      </c>
      <c r="I5" s="6" t="inlineStr">
        <is>
          <t>Alaska Stat. § 45.25.210 (see also § 45.25.200)</t>
        </is>
      </c>
      <c r="J5" s="6" t="inlineStr">
        <is>
          <t>high</t>
        </is>
      </c>
      <c r="K5" s="6" t="inlineStr">
        <is>
          <t>official</t>
        </is>
      </c>
      <c r="L5" s="6" t="inlineStr">
        <is>
          <t>https://www.akleg.gov/basis/statutes.asp?media=print&amp;secStart=45.25.010&amp;secEnd=45.25.990</t>
        </is>
      </c>
    </row>
    <row r="6">
      <c r="A6" s="6" t="inlineStr">
        <is>
          <t>AL</t>
        </is>
      </c>
      <c r="B6" s="6" t="inlineStr">
        <is>
          <t>Factory warranty</t>
        </is>
      </c>
      <c r="C6" s="6" t="inlineStr">
        <is>
          <t>Required</t>
        </is>
      </c>
      <c r="D6" s="6" t="inlineStr">
        <is>
          <t>Factory time (reasonable/adequate standard where stated)</t>
        </is>
      </c>
      <c r="E6" s="6" t="inlineStr"/>
      <c r="F6" s="6" t="inlineStr">
        <is>
          <t>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is>
      </c>
      <c r="G6" s="6" t="inlineStr">
        <is>
          <t>Time allowances for the diagnosis and performance of warranty work and service shall be reasonable and adequate for the work to be performed.</t>
        </is>
      </c>
      <c r="H6" s="6" t="inlineStr">
        <is>
          <t>§ 8-20-7(c); see (b) (warrantor supplies 'the time allowance')</t>
        </is>
      </c>
      <c r="I6" s="6" t="inlineStr">
        <is>
          <t>Ala. Code § 8-20-7</t>
        </is>
      </c>
      <c r="J6" s="6" t="inlineStr">
        <is>
          <t>high</t>
        </is>
      </c>
      <c r="K6" s="6" t="inlineStr">
        <is>
          <t>official</t>
        </is>
      </c>
      <c r="L6" s="6" t="inlineStr">
        <is>
          <t>https://alison.legislature.state.al.us/code-of-alabama?section=8-20-7</t>
        </is>
      </c>
    </row>
    <row r="7">
      <c r="A7" s="6" t="inlineStr">
        <is>
          <t>AL</t>
        </is>
      </c>
      <c r="B7" s="6" t="inlineStr">
        <is>
          <t>Mfr-backed service contract</t>
        </is>
      </c>
      <c r="C7" s="6" t="inlineStr">
        <is>
          <t>Not addressed</t>
        </is>
      </c>
      <c r="D7" s="6" t="inlineStr">
        <is>
          <t>-</t>
        </is>
      </c>
      <c r="E7" s="6" t="inlineStr"/>
      <c r="F7" s="6" t="inlineStr"/>
      <c r="G7" s="6" t="inlineStr">
        <is>
          <t>in fulfilling a warrantor’s obligations under a new motor vehicle warranty, a recall, or a certified pre-owned warranty, to consumers</t>
        </is>
      </c>
      <c r="H7" s="6" t="inlineStr">
        <is>
          <t>§ 8-20-7(a)(6)</t>
        </is>
      </c>
      <c r="I7" s="6" t="inlineStr">
        <is>
          <t>Ala. Code § 8-20-7</t>
        </is>
      </c>
      <c r="J7" s="6" t="inlineStr">
        <is>
          <t>high</t>
        </is>
      </c>
      <c r="K7" s="6" t="inlineStr">
        <is>
          <t>official</t>
        </is>
      </c>
      <c r="L7" s="6" t="inlineStr">
        <is>
          <t>https://alison.legislature.state.al.us/code-of-alabama?section=8-20-7</t>
        </is>
      </c>
    </row>
    <row r="8">
      <c r="A8" s="6" t="inlineStr">
        <is>
          <t>AL</t>
        </is>
      </c>
      <c r="B8" s="6" t="inlineStr">
        <is>
          <t>CPO warranty</t>
        </is>
      </c>
      <c r="C8" s="6" t="inlineStr">
        <is>
          <t>Required</t>
        </is>
      </c>
      <c r="D8" s="6" t="inlineStr">
        <is>
          <t>Factory time (reasonable/adequate standard where stated)</t>
        </is>
      </c>
      <c r="E8" s="6" t="inlineStr"/>
      <c r="F8" s="6" t="inlineStr"/>
      <c r="G8" s="6" t="inlineStr">
        <is>
          <t>in fulfilling a warrantor’s obligations under a new motor vehicle warranty, a recall, or a certified pre-owned warranty, to consumers</t>
        </is>
      </c>
      <c r="H8" s="6" t="inlineStr">
        <is>
          <t>§ 8-20-7(a)(6)</t>
        </is>
      </c>
      <c r="I8" s="6" t="inlineStr">
        <is>
          <t>Ala. Code § 8-20-7</t>
        </is>
      </c>
      <c r="J8" s="6" t="inlineStr">
        <is>
          <t>high</t>
        </is>
      </c>
      <c r="K8" s="6" t="inlineStr">
        <is>
          <t>official</t>
        </is>
      </c>
      <c r="L8" s="6" t="inlineStr">
        <is>
          <t>https://alison.legislature.state.al.us/code-of-alabama?section=8-20-7</t>
        </is>
      </c>
    </row>
    <row r="9">
      <c r="A9" s="6" t="inlineStr">
        <is>
          <t>AL</t>
        </is>
      </c>
      <c r="B9" s="6" t="inlineStr">
        <is>
          <t>Independent service contract</t>
        </is>
      </c>
      <c r="C9" s="6" t="inlineStr">
        <is>
          <t>Not addressed</t>
        </is>
      </c>
      <c r="D9" s="6" t="inlineStr">
        <is>
          <t>-</t>
        </is>
      </c>
      <c r="E9" s="6" t="inlineStr"/>
      <c r="F9" s="6" t="inlineStr"/>
      <c r="G9" s="6" t="inlineStr">
        <is>
          <t>in fulfilling a warrantor’s obligations under a new motor vehicle warranty, a recall, or a certified pre-owned warranty, to consumers</t>
        </is>
      </c>
      <c r="H9" s="6" t="inlineStr">
        <is>
          <t>§ 8-20-7(a)(6)</t>
        </is>
      </c>
      <c r="I9" s="6" t="inlineStr">
        <is>
          <t>Ala. Code § 8-20-7</t>
        </is>
      </c>
      <c r="J9" s="6" t="inlineStr">
        <is>
          <t>high</t>
        </is>
      </c>
      <c r="K9" s="6" t="inlineStr">
        <is>
          <t>official</t>
        </is>
      </c>
      <c r="L9" s="6" t="inlineStr">
        <is>
          <t>https://alison.legislature.state.al.us/code-of-alabama?section=8-20-7</t>
        </is>
      </c>
    </row>
    <row r="10">
      <c r="A10" s="6" t="inlineStr">
        <is>
          <t>AR</t>
        </is>
      </c>
      <c r="B10" s="6" t="inlineStr">
        <is>
          <t>Factory warranty</t>
        </is>
      </c>
      <c r="C10" s="6" t="inlineStr">
        <is>
          <t>Required</t>
        </is>
      </c>
      <c r="D10" s="6" t="inlineStr">
        <is>
          <t>Factory time (reasonable/adequate standard where stated)</t>
        </is>
      </c>
      <c r="E10" s="6" t="inlineStr"/>
      <c r="F10" s="6" t="inlineStr">
        <is>
          <t>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is>
      </c>
      <c r="G10" s="6" t="inlineStr">
        <is>
          <t>Time allowances for the diagnosis and performance of warranty or recall campaign work and service shall be reasonable and adequate for the work to be performed.</t>
        </is>
      </c>
      <c r="H10" s="6" t="inlineStr">
        <is>
          <t>§ 23-112-313(c)(1)</t>
        </is>
      </c>
      <c r="I10" s="6" t="inlineStr">
        <is>
          <t>Ark. Code Ann. § 23-112-313 (with § 23-112-310(d))</t>
        </is>
      </c>
      <c r="J10" s="6" t="inlineStr">
        <is>
          <t>medium</t>
        </is>
      </c>
      <c r="K10" s="6" t="inlineStr">
        <is>
          <t>mirror</t>
        </is>
      </c>
      <c r="L10" s="6" t="inlineStr">
        <is>
          <t>Mirror read: https://law.justia.com/codes/arkansas/title-23/subtitle-4/chapter-112/subchapter-3/section-23-112-313/ (2025 code). Official portal: Arkansas Code via arkleg.state.ar.us (LexisNexis-hosted). Enrolled Act 515 of 2023 read at arkleg.state.ar.us.</t>
        </is>
      </c>
    </row>
    <row r="11">
      <c r="A11" s="6" t="inlineStr">
        <is>
          <t>AR</t>
        </is>
      </c>
      <c r="B11" s="6" t="inlineStr">
        <is>
          <t>Mfr-backed service contract</t>
        </is>
      </c>
      <c r="C11" s="6" t="inlineStr">
        <is>
          <t>Not addressed</t>
        </is>
      </c>
      <c r="D11" s="6" t="inlineStr">
        <is>
          <t>-</t>
        </is>
      </c>
      <c r="E11" s="6" t="inlineStr"/>
      <c r="F11" s="6" t="inlineStr"/>
      <c r="G11" s="6" t="inlineStr">
        <is>
          <t>shall properly fulfill any warranty or recall campaign agreements and adequately and fairly compensate each of its motor vehicle dealers for labor and parts.</t>
        </is>
      </c>
      <c r="H11" s="6" t="inlineStr">
        <is>
          <t>§ 23-112-313(a)</t>
        </is>
      </c>
      <c r="I11" s="6" t="inlineStr">
        <is>
          <t>Ark. Code Ann. § 23-112-313 (with § 23-112-310(d))</t>
        </is>
      </c>
      <c r="J11" s="6" t="inlineStr">
        <is>
          <t>medium</t>
        </is>
      </c>
      <c r="K11" s="6" t="inlineStr">
        <is>
          <t>mirror</t>
        </is>
      </c>
      <c r="L11" s="6" t="inlineStr">
        <is>
          <t>Mirror read: https://law.justia.com/codes/arkansas/title-23/subtitle-4/chapter-112/subchapter-3/section-23-112-313/ (2025 code). Official portal: Arkansas Code via arkleg.state.ar.us (LexisNexis-hosted). Enrolled Act 515 of 2023 read at arkleg.state.ar.us.</t>
        </is>
      </c>
    </row>
    <row r="12">
      <c r="A12" s="6" t="inlineStr">
        <is>
          <t>AR</t>
        </is>
      </c>
      <c r="B12" s="6" t="inlineStr">
        <is>
          <t>CPO warranty</t>
        </is>
      </c>
      <c r="C12" s="6" t="inlineStr">
        <is>
          <t>Not addressed</t>
        </is>
      </c>
      <c r="D12" s="6" t="inlineStr">
        <is>
          <t>-</t>
        </is>
      </c>
      <c r="E12" s="6" t="inlineStr"/>
      <c r="F12" s="6" t="inlineStr"/>
      <c r="G12" s="6" t="inlineStr">
        <is>
          <t>shall properly fulfill any warranty or recall campaign agreements and adequately and fairly compensate each of its motor vehicle dealers for labor and parts.</t>
        </is>
      </c>
      <c r="H12" s="6" t="inlineStr">
        <is>
          <t>§ 23-112-313(a)</t>
        </is>
      </c>
      <c r="I12" s="6" t="inlineStr">
        <is>
          <t>Ark. Code Ann. § 23-112-313 (with § 23-112-310(d))</t>
        </is>
      </c>
      <c r="J12" s="6" t="inlineStr">
        <is>
          <t>medium</t>
        </is>
      </c>
      <c r="K12" s="6" t="inlineStr">
        <is>
          <t>mirror</t>
        </is>
      </c>
      <c r="L12" s="6" t="inlineStr">
        <is>
          <t>Mirror read: https://law.justia.com/codes/arkansas/title-23/subtitle-4/chapter-112/subchapter-3/section-23-112-313/ (2025 code). Official portal: Arkansas Code via arkleg.state.ar.us (LexisNexis-hosted). Enrolled Act 515 of 2023 read at arkleg.state.ar.us.</t>
        </is>
      </c>
    </row>
    <row r="13">
      <c r="A13" s="6" t="inlineStr">
        <is>
          <t>AR</t>
        </is>
      </c>
      <c r="B13" s="6" t="inlineStr">
        <is>
          <t>Independent service contract</t>
        </is>
      </c>
      <c r="C13" s="6" t="inlineStr">
        <is>
          <t>Not addressed</t>
        </is>
      </c>
      <c r="D13" s="6" t="inlineStr">
        <is>
          <t>-</t>
        </is>
      </c>
      <c r="E13" s="6" t="inlineStr"/>
      <c r="F13" s="6" t="inlineStr"/>
      <c r="G13" s="6" t="inlineStr">
        <is>
          <t>shall properly fulfill any warranty or recall campaign agreements and adequately and fairly compensate each of its motor vehicle dealers for labor and parts.</t>
        </is>
      </c>
      <c r="H13" s="6" t="inlineStr">
        <is>
          <t>§ 23-112-313(a)</t>
        </is>
      </c>
      <c r="I13" s="6" t="inlineStr">
        <is>
          <t>Ark. Code Ann. § 23-112-313 (with § 23-112-310(d))</t>
        </is>
      </c>
      <c r="J13" s="6" t="inlineStr">
        <is>
          <t>medium</t>
        </is>
      </c>
      <c r="K13" s="6" t="inlineStr">
        <is>
          <t>mirror</t>
        </is>
      </c>
      <c r="L13" s="6" t="inlineStr">
        <is>
          <t>Mirror read: https://law.justia.com/codes/arkansas/title-23/subtitle-4/chapter-112/subchapter-3/section-23-112-313/ (2025 code). Official portal: Arkansas Code via arkleg.state.ar.us (LexisNexis-hosted). Enrolled Act 515 of 2023 read at arkleg.state.ar.us.</t>
        </is>
      </c>
    </row>
    <row r="14">
      <c r="A14" s="6" t="inlineStr">
        <is>
          <t>AZ</t>
        </is>
      </c>
      <c r="B14" s="6" t="inlineStr">
        <is>
          <t>Factory warranty</t>
        </is>
      </c>
      <c r="C14" s="6" t="inlineStr">
        <is>
          <t>Required</t>
        </is>
      </c>
      <c r="D14" s="6" t="inlineStr">
        <is>
          <t>Factory time (reasonable/adequate standard where stated)</t>
        </is>
      </c>
      <c r="E14" s="6" t="inlineStr"/>
      <c r="F14" s="6" t="inlineStr">
        <is>
          <t>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is>
      </c>
      <c r="G14" s="6" t="inlineStr">
        <is>
          <t>Time allowances for the diagnosis and performance of warranty work and service shall be reasonable and adequate for the work or services to be performed.</t>
        </is>
      </c>
      <c r="H14" s="6" t="inlineStr">
        <is>
          <t>§ 28-4451(D)</t>
        </is>
      </c>
      <c r="I14" s="6" t="inlineStr">
        <is>
          <t>A.R.S. § 28-4451(C)–(F), (K)</t>
        </is>
      </c>
      <c r="J14" s="6" t="inlineStr">
        <is>
          <t>high</t>
        </is>
      </c>
      <c r="K14" s="6" t="inlineStr">
        <is>
          <t>official</t>
        </is>
      </c>
      <c r="L14" s="6" t="inlineStr">
        <is>
          <t>https://www.azleg.gov/ars/28/04451.htm</t>
        </is>
      </c>
    </row>
    <row r="15">
      <c r="A15" s="6" t="inlineStr">
        <is>
          <t>AZ</t>
        </is>
      </c>
      <c r="B15" s="6" t="inlineStr">
        <is>
          <t>Mfr-backed service contract</t>
        </is>
      </c>
      <c r="C15" s="6" t="inlineStr">
        <is>
          <t>Not addressed</t>
        </is>
      </c>
      <c r="D15" s="6" t="inlineStr">
        <is>
          <t>-</t>
        </is>
      </c>
      <c r="E15" s="6" t="inlineStr"/>
      <c r="F15" s="6" t="inlineStr"/>
      <c r="G15" s="6" t="inlineStr">
        <is>
          <t>The manufacturer or distributor shall compensate an authorized new motor vehicle dealer who performs work to rectify the manufacturer's or distributor's warranty obligations, recall obligations or delivery and preparation obligations.</t>
        </is>
      </c>
      <c r="H15" s="6" t="inlineStr">
        <is>
          <t>§ 28-4451(C)</t>
        </is>
      </c>
      <c r="I15" s="6" t="inlineStr">
        <is>
          <t>A.R.S. § 28-4451(C)–(F), (K)</t>
        </is>
      </c>
      <c r="J15" s="6" t="inlineStr">
        <is>
          <t>high</t>
        </is>
      </c>
      <c r="K15" s="6" t="inlineStr">
        <is>
          <t>official</t>
        </is>
      </c>
      <c r="L15" s="6" t="inlineStr">
        <is>
          <t>https://www.azleg.gov/ars/28/04451.htm</t>
        </is>
      </c>
    </row>
    <row r="16">
      <c r="A16" s="6" t="inlineStr">
        <is>
          <t>AZ</t>
        </is>
      </c>
      <c r="B16" s="6" t="inlineStr">
        <is>
          <t>CPO warranty</t>
        </is>
      </c>
      <c r="C16" s="6" t="inlineStr">
        <is>
          <t>Not addressed</t>
        </is>
      </c>
      <c r="D16" s="6" t="inlineStr">
        <is>
          <t>-</t>
        </is>
      </c>
      <c r="E16" s="6" t="inlineStr"/>
      <c r="F16" s="6" t="inlineStr"/>
      <c r="G16" s="6" t="inlineStr">
        <is>
          <t>The manufacturer or distributor shall compensate an authorized new motor vehicle dealer who performs work to rectify the manufacturer's or distributor's warranty obligations, recall obligations or delivery and preparation obligations.</t>
        </is>
      </c>
      <c r="H16" s="6" t="inlineStr">
        <is>
          <t>§ 28-4451(C)</t>
        </is>
      </c>
      <c r="I16" s="6" t="inlineStr">
        <is>
          <t>A.R.S. § 28-4451(C)–(F), (K)</t>
        </is>
      </c>
      <c r="J16" s="6" t="inlineStr">
        <is>
          <t>high</t>
        </is>
      </c>
      <c r="K16" s="6" t="inlineStr">
        <is>
          <t>official</t>
        </is>
      </c>
      <c r="L16" s="6" t="inlineStr">
        <is>
          <t>https://www.azleg.gov/ars/28/04451.htm</t>
        </is>
      </c>
    </row>
    <row r="17">
      <c r="A17" s="6" t="inlineStr">
        <is>
          <t>AZ</t>
        </is>
      </c>
      <c r="B17" s="6" t="inlineStr">
        <is>
          <t>Independent service contract</t>
        </is>
      </c>
      <c r="C17" s="6" t="inlineStr">
        <is>
          <t>Not addressed</t>
        </is>
      </c>
      <c r="D17" s="6" t="inlineStr">
        <is>
          <t>-</t>
        </is>
      </c>
      <c r="E17" s="6" t="inlineStr"/>
      <c r="F17" s="6" t="inlineStr"/>
      <c r="G17" s="6" t="inlineStr">
        <is>
          <t>The manufacturer or distributor shall compensate an authorized new motor vehicle dealer who performs work to rectify the manufacturer's or distributor's warranty obligations, recall obligations or delivery and preparation obligations.</t>
        </is>
      </c>
      <c r="H17" s="6" t="inlineStr">
        <is>
          <t>§ 28-4451(C)</t>
        </is>
      </c>
      <c r="I17" s="6" t="inlineStr">
        <is>
          <t>A.R.S. § 28-4451(C)–(F), (K)</t>
        </is>
      </c>
      <c r="J17" s="6" t="inlineStr">
        <is>
          <t>high</t>
        </is>
      </c>
      <c r="K17" s="6" t="inlineStr">
        <is>
          <t>official</t>
        </is>
      </c>
      <c r="L17" s="6" t="inlineStr">
        <is>
          <t>https://www.azleg.gov/ars/28/04451.htm</t>
        </is>
      </c>
    </row>
    <row r="18">
      <c r="A18" s="6" t="inlineStr">
        <is>
          <t>CA</t>
        </is>
      </c>
      <c r="B18" s="6" t="inlineStr">
        <is>
          <t>Factory warranty</t>
        </is>
      </c>
      <c r="C18" s="6" t="inlineStr">
        <is>
          <t>Required</t>
        </is>
      </c>
      <c r="D18" s="6" t="inlineStr">
        <is>
          <t>Factory time (reasonable/adequate standard where stated)</t>
        </is>
      </c>
      <c r="E18" s="6" t="inlineStr"/>
      <c r="F18" s="6" t="inlineStr">
        <is>
          <t>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is>
      </c>
      <c r="G18" s="6" t="inlineStr">
        <is>
          <t>The franchisor shall use time allowances for the diagnosis and performance of work and service that are reasonable and adequate for a qualified technician to perform the work or services.</t>
        </is>
      </c>
      <c r="H18" s="6" t="inlineStr">
        <is>
          <t>§ 3065(a)(1)</t>
        </is>
      </c>
      <c r="I18" s="6" t="inlineStr">
        <is>
          <t>Cal. Veh. Code §§ 3065, 3065.2</t>
        </is>
      </c>
      <c r="J18" s="6" t="inlineStr">
        <is>
          <t>high</t>
        </is>
      </c>
      <c r="K18" s="6" t="inlineStr">
        <is>
          <t>official</t>
        </is>
      </c>
      <c r="L18" s="6" t="inlineStr">
        <is>
          <t>https://leginfo.legislature.ca.gov/faces/codes_displaySection.xhtml?lawCode=VEH&amp;sectionNum=3065</t>
        </is>
      </c>
    </row>
    <row r="19">
      <c r="A19" s="6" t="inlineStr">
        <is>
          <t>CA</t>
        </is>
      </c>
      <c r="B19" s="6" t="inlineStr">
        <is>
          <t>Mfr-backed service contract</t>
        </is>
      </c>
      <c r="C19" s="6" t="inlineStr">
        <is>
          <t>Not addressed</t>
        </is>
      </c>
      <c r="D19" s="6" t="inlineStr">
        <is>
          <t>-</t>
        </is>
      </c>
      <c r="E19" s="6" t="inlineStr"/>
      <c r="F19" s="6" t="inlineStr"/>
      <c r="G19" s="6" t="inlineStr">
        <is>
          <t>“Warranty” includes a new vehicle warranty, a certified preowned warranty, a repair pursuant to a technical service bulletin on a vehicle covered under the period of warranty ...</t>
        </is>
      </c>
      <c r="H19" s="6" t="inlineStr">
        <is>
          <t>§ 3065.25(b)</t>
        </is>
      </c>
      <c r="I19" s="6" t="inlineStr">
        <is>
          <t>Cal. Veh. Code §§ 3065, 3065.2</t>
        </is>
      </c>
      <c r="J19" s="6" t="inlineStr">
        <is>
          <t>high</t>
        </is>
      </c>
      <c r="K19" s="6" t="inlineStr">
        <is>
          <t>official</t>
        </is>
      </c>
      <c r="L19" s="6" t="inlineStr">
        <is>
          <t>https://leginfo.legislature.ca.gov/faces/codes_displaySection.xhtml?lawCode=VEH&amp;sectionNum=3065</t>
        </is>
      </c>
    </row>
    <row r="20">
      <c r="A20" s="6" t="inlineStr">
        <is>
          <t>CA</t>
        </is>
      </c>
      <c r="B20" s="6" t="inlineStr">
        <is>
          <t>CPO warranty</t>
        </is>
      </c>
      <c r="C20" s="6" t="inlineStr">
        <is>
          <t>Required</t>
        </is>
      </c>
      <c r="D20" s="6" t="inlineStr">
        <is>
          <t>Factory time (reasonable/adequate standard where stated)</t>
        </is>
      </c>
      <c r="E20" s="6" t="inlineStr"/>
      <c r="F20" s="6" t="inlineStr"/>
      <c r="G20" s="6" t="inlineStr">
        <is>
          <t>“Warranty” includes a new vehicle warranty, a certified preowned warranty</t>
        </is>
      </c>
      <c r="H20" s="6" t="inlineStr">
        <is>
          <t>§ 3065.25(b)</t>
        </is>
      </c>
      <c r="I20" s="6" t="inlineStr">
        <is>
          <t>Cal. Veh. Code §§ 3065, 3065.2</t>
        </is>
      </c>
      <c r="J20" s="6" t="inlineStr">
        <is>
          <t>high</t>
        </is>
      </c>
      <c r="K20" s="6" t="inlineStr">
        <is>
          <t>official</t>
        </is>
      </c>
      <c r="L20" s="6" t="inlineStr">
        <is>
          <t>https://leginfo.legislature.ca.gov/faces/codes_displaySection.xhtml?lawCode=VEH&amp;sectionNum=3065</t>
        </is>
      </c>
    </row>
    <row r="21">
      <c r="A21" s="6" t="inlineStr">
        <is>
          <t>CA</t>
        </is>
      </c>
      <c r="B21" s="6" t="inlineStr">
        <is>
          <t>Independent service contract</t>
        </is>
      </c>
      <c r="C21" s="6" t="inlineStr">
        <is>
          <t>Not addressed</t>
        </is>
      </c>
      <c r="D21" s="6" t="inlineStr">
        <is>
          <t>-</t>
        </is>
      </c>
      <c r="E21" s="6" t="inlineStr"/>
      <c r="F21" s="6" t="inlineStr"/>
      <c r="G21" s="6" t="inlineStr">
        <is>
          <t>“Warranty” includes a new vehicle warranty, a certified preowned warranty, a repair pursuant to a technical service bulletin on a vehicle covered under the period of warranty ...</t>
        </is>
      </c>
      <c r="H21" s="6" t="inlineStr">
        <is>
          <t>§ 3065.25(b)</t>
        </is>
      </c>
      <c r="I21" s="6" t="inlineStr">
        <is>
          <t>Cal. Veh. Code §§ 3065, 3065.2</t>
        </is>
      </c>
      <c r="J21" s="6" t="inlineStr">
        <is>
          <t>high</t>
        </is>
      </c>
      <c r="K21" s="6" t="inlineStr">
        <is>
          <t>official</t>
        </is>
      </c>
      <c r="L21" s="6" t="inlineStr">
        <is>
          <t>https://leginfo.legislature.ca.gov/faces/codes_displaySection.xhtml?lawCode=VEH&amp;sectionNum=3065</t>
        </is>
      </c>
    </row>
    <row r="22">
      <c r="A22" s="6" t="inlineStr">
        <is>
          <t>CO</t>
        </is>
      </c>
      <c r="B22" s="6" t="inlineStr">
        <is>
          <t>Factory warranty</t>
        </is>
      </c>
      <c r="C22" s="6" t="inlineStr">
        <is>
          <t>Required</t>
        </is>
      </c>
      <c r="D22" s="6" t="inlineStr">
        <is>
          <t>Factory time (reasonable/adequate standard where stated)</t>
        </is>
      </c>
      <c r="E22" s="6" t="inlineStr"/>
      <c r="F22" s="6" t="inlineStr">
        <is>
          <t>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is>
      </c>
      <c r="G22" s="6" t="inlineStr">
        <is>
          <t>Shall not establish an unreasonable flat-rate time, nor establish unreasonable flat-rate labor times for new line-makes that are inconsistent with the existing rates</t>
        </is>
      </c>
      <c r="H22" s="6" t="inlineStr">
        <is>
          <t>§ 44-20-141.5(7)(a)</t>
        </is>
      </c>
      <c r="I22" s="6" t="inlineStr">
        <is>
          <t>C.R.S. § 44-20-141.5</t>
        </is>
      </c>
      <c r="J22" s="6" t="inlineStr">
        <is>
          <t>medium</t>
        </is>
      </c>
      <c r="K22" s="6" t="inlineStr">
        <is>
          <t>mirror</t>
        </is>
      </c>
      <c r="L22"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3">
      <c r="A23" s="6" t="inlineStr">
        <is>
          <t>CO</t>
        </is>
      </c>
      <c r="B23" s="6" t="inlineStr">
        <is>
          <t>Mfr-backed service contract</t>
        </is>
      </c>
      <c r="C23" s="6" t="inlineStr">
        <is>
          <t>Not addressed</t>
        </is>
      </c>
      <c r="D23" s="6" t="inlineStr">
        <is>
          <t>-</t>
        </is>
      </c>
      <c r="E23" s="6" t="inlineStr"/>
      <c r="F23" s="6" t="inlineStr"/>
      <c r="G23" s="6" t="inlineStr">
        <is>
          <t>“Warranty obligation” means diagnosing and repairing a motor vehicle in accordance with any warranty, recall, or certified preowned warranty, under which a manufacturer makes a repair commitment to a consumer or motor vehicle dealer.</t>
        </is>
      </c>
      <c r="H23" s="6" t="inlineStr">
        <is>
          <t>§ 44-20-141.5(1)(g)</t>
        </is>
      </c>
      <c r="I23" s="6" t="inlineStr">
        <is>
          <t>C.R.S. § 44-20-141.5</t>
        </is>
      </c>
      <c r="J23" s="6" t="inlineStr">
        <is>
          <t>medium</t>
        </is>
      </c>
      <c r="K23" s="6" t="inlineStr">
        <is>
          <t>mirror</t>
        </is>
      </c>
      <c r="L23"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4">
      <c r="A24" s="6" t="inlineStr">
        <is>
          <t>CO</t>
        </is>
      </c>
      <c r="B24" s="6" t="inlineStr">
        <is>
          <t>CPO warranty</t>
        </is>
      </c>
      <c r="C24" s="6" t="inlineStr">
        <is>
          <t>Required</t>
        </is>
      </c>
      <c r="D24" s="6" t="inlineStr">
        <is>
          <t>Factory time (reasonable/adequate standard where stated)</t>
        </is>
      </c>
      <c r="E24" s="6" t="inlineStr"/>
      <c r="F24" s="6" t="inlineStr"/>
      <c r="G24" s="6" t="inlineStr">
        <is>
          <t>“Warranty obligation” means diagnosing and repairing a motor vehicle in accordance with any warranty, recall, or certified preowned warranty, under which a manufacturer makes a repair commitment to a consumer or motor vehicle dealer.</t>
        </is>
      </c>
      <c r="H24" s="6" t="inlineStr">
        <is>
          <t>§ 44-20-141.5(1)(g)</t>
        </is>
      </c>
      <c r="I24" s="6" t="inlineStr">
        <is>
          <t>C.R.S. § 44-20-141.5</t>
        </is>
      </c>
      <c r="J24" s="6" t="inlineStr">
        <is>
          <t>medium</t>
        </is>
      </c>
      <c r="K24" s="6" t="inlineStr">
        <is>
          <t>mirror</t>
        </is>
      </c>
      <c r="L24"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5">
      <c r="A25" s="6" t="inlineStr">
        <is>
          <t>CO</t>
        </is>
      </c>
      <c r="B25" s="6" t="inlineStr">
        <is>
          <t>Independent service contract</t>
        </is>
      </c>
      <c r="C25" s="6" t="inlineStr">
        <is>
          <t>Not addressed</t>
        </is>
      </c>
      <c r="D25" s="6" t="inlineStr">
        <is>
          <t>-</t>
        </is>
      </c>
      <c r="E25" s="6" t="inlineStr"/>
      <c r="F25" s="6" t="inlineStr"/>
      <c r="G25" s="6" t="inlineStr">
        <is>
          <t>“Warranty obligation” means diagnosing and repairing a motor vehicle in accordance with any warranty, recall, or certified preowned warranty, under which a manufacturer makes a repair commitment to a consumer or motor vehicle dealer.</t>
        </is>
      </c>
      <c r="H25" s="6" t="inlineStr">
        <is>
          <t>§ 44-20-141.5(1)(g)</t>
        </is>
      </c>
      <c r="I25" s="6" t="inlineStr">
        <is>
          <t>C.R.S. § 44-20-141.5</t>
        </is>
      </c>
      <c r="J25" s="6" t="inlineStr">
        <is>
          <t>medium</t>
        </is>
      </c>
      <c r="K25" s="6" t="inlineStr">
        <is>
          <t>mirror</t>
        </is>
      </c>
      <c r="L25" s="6" t="inlineStr">
        <is>
          <t>Mirror read: https://law.justia.com/codes/colorado/title-44/automobiles/article-20/part-1/section-44-20-141-5/ (2025 C.R.S.). Official: enrolled SB 23-078 at https://content.leg.colorado.gov/sites/default/files/2023a_078_signed.pdf; official C.R.S. portal via leg.colorado.gov (LexisNexis-hosted).</t>
        </is>
      </c>
    </row>
    <row r="26">
      <c r="A26" s="6" t="inlineStr">
        <is>
          <t>CT</t>
        </is>
      </c>
      <c r="B26" s="6" t="inlineStr">
        <is>
          <t>Factory warranty</t>
        </is>
      </c>
      <c r="C26" s="6" t="inlineStr">
        <is>
          <t>Required</t>
        </is>
      </c>
      <c r="D26" s="6" t="inlineStr">
        <is>
          <t>Factory time (reasonable/adequate standard where stated)</t>
        </is>
      </c>
      <c r="E26" s="6" t="inlineStr"/>
      <c r="F26" s="6" t="inlineStr">
        <is>
          <t>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is>
      </c>
      <c r="G26" s="6" t="inlineStr">
        <is>
          <t>Time allowances for the diagnosis and performance of warranty work and service shall be reasonable and adequate for the work to be performed.</t>
        </is>
      </c>
      <c r="H26" s="6" t="inlineStr">
        <is>
          <t>§ 42-133s(h)</t>
        </is>
      </c>
      <c r="I26" s="6" t="inlineStr">
        <is>
          <t>Conn. Gen. Stat. § 42-133s</t>
        </is>
      </c>
      <c r="J26" s="6" t="inlineStr">
        <is>
          <t>high</t>
        </is>
      </c>
      <c r="K26" s="6" t="inlineStr">
        <is>
          <t>official</t>
        </is>
      </c>
      <c r="L26" s="6" t="inlineStr">
        <is>
          <t>https://www.cga.ct.gov/current/pub/chap_739.htm (2025 revision; 2026 Supplement lists no ch. 739 changes); PA 26-24: https://www.cga.ct.gov/2026/ACT/PA/PDF/2026PA-00024-R00SB-00413-PA.PDF</t>
        </is>
      </c>
    </row>
    <row r="27">
      <c r="A27" s="6" t="inlineStr">
        <is>
          <t>CT</t>
        </is>
      </c>
      <c r="B27" s="6" t="inlineStr">
        <is>
          <t>Mfr-backed service contract</t>
        </is>
      </c>
      <c r="C27" s="6" t="inlineStr">
        <is>
          <t>Not addressed</t>
        </is>
      </c>
      <c r="D27" s="6" t="inlineStr">
        <is>
          <t>-</t>
        </is>
      </c>
      <c r="E27" s="6" t="inlineStr"/>
      <c r="F27" s="6" t="inlineStr"/>
      <c r="G27" s="6" t="inlineStr">
        <is>
          <t>the dealer's obligations for predelivery preparation and warranty service on its products, and shall compensate the dealer for such preparation and service.</t>
        </is>
      </c>
      <c r="H27" s="6" t="inlineStr">
        <is>
          <t>§ 42-133s(a)</t>
        </is>
      </c>
      <c r="I27" s="6" t="inlineStr">
        <is>
          <t>Conn. Gen. Stat. § 42-133s</t>
        </is>
      </c>
      <c r="J27" s="6" t="inlineStr">
        <is>
          <t>high</t>
        </is>
      </c>
      <c r="K27" s="6" t="inlineStr">
        <is>
          <t>official</t>
        </is>
      </c>
      <c r="L27" s="6" t="inlineStr">
        <is>
          <t>https://www.cga.ct.gov/current/pub/chap_739.htm (2025 revision; 2026 Supplement lists no ch. 739 changes); PA 26-24: https://www.cga.ct.gov/2026/ACT/PA/PDF/2026PA-00024-R00SB-00413-PA.PDF</t>
        </is>
      </c>
    </row>
    <row r="28">
      <c r="A28" s="6" t="inlineStr">
        <is>
          <t>CT</t>
        </is>
      </c>
      <c r="B28" s="6" t="inlineStr">
        <is>
          <t>CPO warranty</t>
        </is>
      </c>
      <c r="C28" s="6" t="inlineStr">
        <is>
          <t>Not addressed</t>
        </is>
      </c>
      <c r="D28" s="6" t="inlineStr">
        <is>
          <t>-</t>
        </is>
      </c>
      <c r="E28" s="6" t="inlineStr"/>
      <c r="F28" s="6" t="inlineStr"/>
      <c r="G28" s="6" t="inlineStr">
        <is>
          <t>the dealer's obligations for predelivery preparation and warranty service on its products, and shall compensate the dealer for such preparation and service.</t>
        </is>
      </c>
      <c r="H28" s="6" t="inlineStr">
        <is>
          <t>§ 42-133s(a)</t>
        </is>
      </c>
      <c r="I28" s="6" t="inlineStr">
        <is>
          <t>Conn. Gen. Stat. § 42-133s</t>
        </is>
      </c>
      <c r="J28" s="6" t="inlineStr">
        <is>
          <t>high</t>
        </is>
      </c>
      <c r="K28" s="6" t="inlineStr">
        <is>
          <t>official</t>
        </is>
      </c>
      <c r="L28" s="6" t="inlineStr">
        <is>
          <t>https://www.cga.ct.gov/current/pub/chap_739.htm (2025 revision; 2026 Supplement lists no ch. 739 changes); PA 26-24: https://www.cga.ct.gov/2026/ACT/PA/PDF/2026PA-00024-R00SB-00413-PA.PDF</t>
        </is>
      </c>
    </row>
    <row r="29">
      <c r="A29" s="6" t="inlineStr">
        <is>
          <t>CT</t>
        </is>
      </c>
      <c r="B29" s="6" t="inlineStr">
        <is>
          <t>Independent service contract</t>
        </is>
      </c>
      <c r="C29" s="6" t="inlineStr">
        <is>
          <t>Not addressed</t>
        </is>
      </c>
      <c r="D29" s="6" t="inlineStr">
        <is>
          <t>-</t>
        </is>
      </c>
      <c r="E29" s="6" t="inlineStr"/>
      <c r="F29" s="6" t="inlineStr"/>
      <c r="G29" s="6" t="inlineStr">
        <is>
          <t>the dealer's obligations for predelivery preparation and warranty service on its products, and shall compensate the dealer for such preparation and service.</t>
        </is>
      </c>
      <c r="H29" s="6" t="inlineStr">
        <is>
          <t>§ 42-133s(a)</t>
        </is>
      </c>
      <c r="I29" s="6" t="inlineStr">
        <is>
          <t>Conn. Gen. Stat. § 42-133s</t>
        </is>
      </c>
      <c r="J29" s="6" t="inlineStr">
        <is>
          <t>high</t>
        </is>
      </c>
      <c r="K29" s="6" t="inlineStr">
        <is>
          <t>official</t>
        </is>
      </c>
      <c r="L29" s="6" t="inlineStr">
        <is>
          <t>https://www.cga.ct.gov/current/pub/chap_739.htm (2025 revision; 2026 Supplement lists no ch. 739 changes); PA 26-24: https://www.cga.ct.gov/2026/ACT/PA/PDF/2026PA-00024-R00SB-00413-PA.PDF</t>
        </is>
      </c>
    </row>
    <row r="30">
      <c r="A30" s="6" t="inlineStr">
        <is>
          <t>DE</t>
        </is>
      </c>
      <c r="B30" s="6" t="inlineStr">
        <is>
          <t>Factory warranty</t>
        </is>
      </c>
      <c r="C30" s="6" t="inlineStr">
        <is>
          <t>Required</t>
        </is>
      </c>
      <c r="D30" s="6" t="inlineStr">
        <is>
          <t>Factory time (reasonable/adequate standard where stated)</t>
        </is>
      </c>
      <c r="E30" s="6" t="inlineStr"/>
      <c r="F30" s="6" t="inlineStr">
        <is>
          <t>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is>
      </c>
      <c r="G30" s="6" t="inlineStr">
        <is>
          <t>Time allowances for the diagnosis and performance of warranty work and service shall be reasonable and adequate for the work to be performed.</t>
        </is>
      </c>
      <c r="H30" s="6" t="inlineStr">
        <is>
          <t>§ 4903(b); see (a)(1)c.</t>
        </is>
      </c>
      <c r="I30" s="6" t="inlineStr">
        <is>
          <t>6 Del. C. § 4903</t>
        </is>
      </c>
      <c r="J30" s="6" t="inlineStr">
        <is>
          <t>high</t>
        </is>
      </c>
      <c r="K30" s="6" t="inlineStr">
        <is>
          <t>official</t>
        </is>
      </c>
      <c r="L30" s="6" t="inlineStr">
        <is>
          <t>https://delcode.delaware.gov/title6/c049/index.html; session law: https://legis.delaware.gov/SessionLaws?volume=84&amp;chapter=389</t>
        </is>
      </c>
    </row>
    <row r="31">
      <c r="A31" s="6" t="inlineStr">
        <is>
          <t>DE</t>
        </is>
      </c>
      <c r="B31" s="6" t="inlineStr">
        <is>
          <t>Mfr-backed service contract</t>
        </is>
      </c>
      <c r="C31" s="6" t="inlineStr">
        <is>
          <t>Required</t>
        </is>
      </c>
      <c r="D31" s="6" t="inlineStr">
        <is>
          <t>Factory time (reasonable/adequate standard where stated)</t>
        </is>
      </c>
      <c r="E31" s="6" t="inlineStr"/>
      <c r="F31" s="6" t="inlineStr"/>
      <c r="G31" s="6" t="inlineStr">
        <is>
          <t>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is>
      </c>
      <c r="H31" s="6" t="inlineStr">
        <is>
          <t>§ 4903(b)</t>
        </is>
      </c>
      <c r="I31" s="6" t="inlineStr">
        <is>
          <t>6 Del. C. § 4903</t>
        </is>
      </c>
      <c r="J31" s="6" t="inlineStr">
        <is>
          <t>high</t>
        </is>
      </c>
      <c r="K31" s="6" t="inlineStr">
        <is>
          <t>official</t>
        </is>
      </c>
      <c r="L31" s="6" t="inlineStr">
        <is>
          <t>https://delcode.delaware.gov/title6/c049/index.html; session law: https://legis.delaware.gov/SessionLaws?volume=84&amp;chapter=389</t>
        </is>
      </c>
    </row>
    <row r="32">
      <c r="A32" s="6" t="inlineStr">
        <is>
          <t>DE</t>
        </is>
      </c>
      <c r="B32" s="6" t="inlineStr">
        <is>
          <t>CPO warranty</t>
        </is>
      </c>
      <c r="C32" s="6" t="inlineStr">
        <is>
          <t>Required</t>
        </is>
      </c>
      <c r="D32" s="6" t="inlineStr">
        <is>
          <t>Factory time (reasonable/adequate standard where stated)</t>
        </is>
      </c>
      <c r="E32" s="6" t="inlineStr"/>
      <c r="F32" s="6" t="inlineStr"/>
      <c r="G32" s="6" t="inlineStr">
        <is>
          <t>manufacturer-sponsored maintenance programs, manufacturer extended warranty, certified pre-owned warranty, manufacturer-issued service contracts, parts exchange programs, recall and warranty service on its products.</t>
        </is>
      </c>
      <c r="H32" s="6" t="inlineStr">
        <is>
          <t>§ 4903(a)(1)a.</t>
        </is>
      </c>
      <c r="I32" s="6" t="inlineStr">
        <is>
          <t>6 Del. C. § 4903</t>
        </is>
      </c>
      <c r="J32" s="6" t="inlineStr">
        <is>
          <t>high</t>
        </is>
      </c>
      <c r="K32" s="6" t="inlineStr">
        <is>
          <t>official</t>
        </is>
      </c>
      <c r="L32" s="6" t="inlineStr">
        <is>
          <t>https://delcode.delaware.gov/title6/c049/index.html; session law: https://legis.delaware.gov/SessionLaws?volume=84&amp;chapter=389</t>
        </is>
      </c>
    </row>
    <row r="33">
      <c r="A33" s="6" t="inlineStr">
        <is>
          <t>DE</t>
        </is>
      </c>
      <c r="B33" s="6" t="inlineStr">
        <is>
          <t>Independent service contract</t>
        </is>
      </c>
      <c r="C33" s="6" t="inlineStr">
        <is>
          <t>Not addressed</t>
        </is>
      </c>
      <c r="D33" s="6" t="inlineStr">
        <is>
          <t>-</t>
        </is>
      </c>
      <c r="E33" s="6" t="inlineStr"/>
      <c r="F33" s="6" t="inlineStr"/>
      <c r="G33" s="6" t="inlineStr">
        <is>
          <t>manufacturer-sponsored maintenance programs, manufacturer extended warranty, certified pre-owned warranty, manufacturer-issued service contracts, parts exchange programs, recall and warranty service on its products.</t>
        </is>
      </c>
      <c r="H33" s="6" t="inlineStr">
        <is>
          <t>§ 4903(a)(1)a.</t>
        </is>
      </c>
      <c r="I33" s="6" t="inlineStr">
        <is>
          <t>6 Del. C. § 4903</t>
        </is>
      </c>
      <c r="J33" s="6" t="inlineStr">
        <is>
          <t>high</t>
        </is>
      </c>
      <c r="K33" s="6" t="inlineStr">
        <is>
          <t>official</t>
        </is>
      </c>
      <c r="L33" s="6" t="inlineStr">
        <is>
          <t>https://delcode.delaware.gov/title6/c049/index.html; session law: https://legis.delaware.gov/SessionLaws?volume=84&amp;chapter=389</t>
        </is>
      </c>
    </row>
    <row r="34">
      <c r="A34" s="6" t="inlineStr">
        <is>
          <t>FL</t>
        </is>
      </c>
      <c r="B34" s="6" t="inlineStr">
        <is>
          <t>Factory warranty</t>
        </is>
      </c>
      <c r="C34" s="6" t="inlineStr">
        <is>
          <t>Required</t>
        </is>
      </c>
      <c r="D34" s="6" t="inlineStr">
        <is>
          <t>Factory time (reasonable/adequate standard where stated)</t>
        </is>
      </c>
      <c r="E34" s="6" t="inlineStr"/>
      <c r="F34" s="6" t="inlineStr">
        <is>
          <t>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is>
      </c>
      <c r="G34" s="6" t="inlineStr">
        <is>
          <t>A licensee shall not eliminate flat-rate times from or establish an unreasonable flat-rate time in its warranty repair manual, warranty time guide, or any other similarly named document.</t>
        </is>
      </c>
      <c r="H34" s="6" t="inlineStr">
        <is>
          <t>§ 320.696(4)(b) (flush text)</t>
        </is>
      </c>
      <c r="I34" s="6" t="inlineStr">
        <is>
          <t>Fla. Stat. § 320.696</t>
        </is>
      </c>
      <c r="J34" s="6" t="inlineStr">
        <is>
          <t>high</t>
        </is>
      </c>
      <c r="K34" s="6" t="inlineStr">
        <is>
          <t>official</t>
        </is>
      </c>
      <c r="L34" s="6" t="inlineStr">
        <is>
          <t>http://www.leg.state.fl.us/statutes/index.cfm?App_mode=Display_Statute&amp;URL=0300-0399/0320/Sections/0320.696.html (2026 Florida Statutes)</t>
        </is>
      </c>
    </row>
    <row r="35">
      <c r="A35" s="6" t="inlineStr">
        <is>
          <t>FL</t>
        </is>
      </c>
      <c r="B35" s="6" t="inlineStr">
        <is>
          <t>Mfr-backed service contract</t>
        </is>
      </c>
      <c r="C35" s="6" t="inlineStr">
        <is>
          <t>Conditional</t>
        </is>
      </c>
      <c r="D35" s="6" t="inlineStr">
        <is>
          <t>Factory time (reasonable/adequate standard where stated)</t>
        </is>
      </c>
      <c r="E35" s="6" t="inlineStr"/>
      <c r="F35" s="6" t="inlineStr"/>
      <c r="G35" s="6" t="inlineStr">
        <is>
          <t>under a warranty or maintenance plan, extended warranty, certified pre-owned warranty, or a service contract, issued by the licensee or its common entity, unless issued by a common entity that is not a manufacturer</t>
        </is>
      </c>
      <c r="H35" s="6" t="inlineStr">
        <is>
          <t>§ 320.696(1)(a)</t>
        </is>
      </c>
      <c r="I35" s="6" t="inlineStr">
        <is>
          <t>Fla. Stat. § 320.696</t>
        </is>
      </c>
      <c r="J35" s="6" t="inlineStr">
        <is>
          <t>high</t>
        </is>
      </c>
      <c r="K35" s="6" t="inlineStr">
        <is>
          <t>official</t>
        </is>
      </c>
      <c r="L35" s="6" t="inlineStr">
        <is>
          <t>http://www.leg.state.fl.us/statutes/index.cfm?App_mode=Display_Statute&amp;URL=0300-0399/0320/Sections/0320.696.html (2026 Florida Statutes)</t>
        </is>
      </c>
    </row>
    <row r="36">
      <c r="A36" s="6" t="inlineStr">
        <is>
          <t>FL</t>
        </is>
      </c>
      <c r="B36" s="6" t="inlineStr">
        <is>
          <t>CPO warranty</t>
        </is>
      </c>
      <c r="C36" s="6" t="inlineStr">
        <is>
          <t>Conditional</t>
        </is>
      </c>
      <c r="D36" s="6" t="inlineStr">
        <is>
          <t>Factory time (reasonable/adequate standard where stated)</t>
        </is>
      </c>
      <c r="E36" s="6" t="inlineStr"/>
      <c r="F36" s="6" t="inlineStr"/>
      <c r="G36" s="6" t="inlineStr">
        <is>
          <t>under a warranty or maintenance plan, extended warranty, certified pre-owned warranty, or a service contract, issued by the licensee or its common entity, unless issued by a common entity that is not a manufacturer</t>
        </is>
      </c>
      <c r="H36" s="6" t="inlineStr">
        <is>
          <t>§ 320.696(1)(a)</t>
        </is>
      </c>
      <c r="I36" s="6" t="inlineStr">
        <is>
          <t>Fla. Stat. § 320.696</t>
        </is>
      </c>
      <c r="J36" s="6" t="inlineStr">
        <is>
          <t>high</t>
        </is>
      </c>
      <c r="K36" s="6" t="inlineStr">
        <is>
          <t>official</t>
        </is>
      </c>
      <c r="L36" s="6" t="inlineStr">
        <is>
          <t>http://www.leg.state.fl.us/statutes/index.cfm?App_mode=Display_Statute&amp;URL=0300-0399/0320/Sections/0320.696.html (2026 Florida Statutes)</t>
        </is>
      </c>
    </row>
    <row r="37">
      <c r="A37" s="6" t="inlineStr">
        <is>
          <t>FL</t>
        </is>
      </c>
      <c r="B37" s="6" t="inlineStr">
        <is>
          <t>Independent service contract</t>
        </is>
      </c>
      <c r="C37" s="6" t="inlineStr">
        <is>
          <t>Not reached</t>
        </is>
      </c>
      <c r="D37" s="6" t="inlineStr">
        <is>
          <t>-</t>
        </is>
      </c>
      <c r="E37" s="6" t="inlineStr"/>
      <c r="F37" s="6" t="inlineStr"/>
      <c r="G37" s="6" t="inlineStr">
        <is>
          <t>under a warranty or maintenance plan, extended warranty, certified pre-owned warranty, or a service contract, issued by the licensee or its common entity, unless issued by a common entity that is not a manufacturer</t>
        </is>
      </c>
      <c r="H37" s="6" t="inlineStr">
        <is>
          <t>§ 320.696(1)(a)</t>
        </is>
      </c>
      <c r="I37" s="6" t="inlineStr">
        <is>
          <t>Fla. Stat. § 320.696</t>
        </is>
      </c>
      <c r="J37" s="6" t="inlineStr">
        <is>
          <t>high</t>
        </is>
      </c>
      <c r="K37" s="6" t="inlineStr">
        <is>
          <t>official</t>
        </is>
      </c>
      <c r="L37" s="6" t="inlineStr">
        <is>
          <t>http://www.leg.state.fl.us/statutes/index.cfm?App_mode=Display_Statute&amp;URL=0300-0399/0320/Sections/0320.696.html (2026 Florida Statutes)</t>
        </is>
      </c>
    </row>
    <row r="38">
      <c r="A38" s="6" t="inlineStr">
        <is>
          <t>GA</t>
        </is>
      </c>
      <c r="B38" s="6" t="inlineStr">
        <is>
          <t>Factory warranty</t>
        </is>
      </c>
      <c r="C38" s="6" t="inlineStr">
        <is>
          <t>Required</t>
        </is>
      </c>
      <c r="D38" s="6" t="inlineStr">
        <is>
          <t>Factory time (reasonable/adequate standard where stated)</t>
        </is>
      </c>
      <c r="E38" s="6" t="inlineStr"/>
      <c r="F38" s="6" t="inlineStr">
        <is>
          <t>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is>
      </c>
      <c r="G38" s="6" t="inlineStr">
        <is>
          <t>Time allowances for the diagnosis and performance of such work and service shall be reasonable and adequate for the work to be performed.</t>
        </is>
      </c>
      <c r="H38" s="6" t="inlineStr">
        <is>
          <t>§ 10-1-641(a)(1)(D)</t>
        </is>
      </c>
      <c r="I38" s="6" t="inlineStr">
        <is>
          <t>O.C.G.A. § 10-1-641 (see also § 10-1-645)</t>
        </is>
      </c>
      <c r="J38" s="6" t="inlineStr">
        <is>
          <t>medium</t>
        </is>
      </c>
      <c r="K38" s="6" t="inlineStr">
        <is>
          <t>mirror</t>
        </is>
      </c>
      <c r="L38" s="6" t="inlineStr">
        <is>
          <t>Mirror read: https://law.justia.com/codes/georgia/title-10/chapter-1/article-22/part-3/section-10-1-641/ (2025 Code of Georgia). Official portal: legis.ga.gov (O.C.G.A. hosted by LexisNexis).</t>
        </is>
      </c>
    </row>
    <row r="39">
      <c r="A39" s="6" t="inlineStr">
        <is>
          <t>GA</t>
        </is>
      </c>
      <c r="B39" s="6" t="inlineStr">
        <is>
          <t>Mfr-backed service contract</t>
        </is>
      </c>
      <c r="C39" s="6" t="inlineStr">
        <is>
          <t>Conditional</t>
        </is>
      </c>
      <c r="D39" s="6" t="inlineStr">
        <is>
          <t>Factory time (reasonable/adequate standard where stated)</t>
        </is>
      </c>
      <c r="E39" s="6" t="inlineStr"/>
      <c r="F39" s="6" t="inlineStr"/>
      <c r="G39" s="6" t="inlineStr">
        <is>
          <t>Such term does not include service contracts, mechanical or other insurance, or “extended warranties” sold for separate consideration by a dealer or other person not controlled by a manufacturer or distributor.</t>
        </is>
      </c>
      <c r="H39" s="6" t="inlineStr">
        <is>
          <t>§ 10-1-622(15)</t>
        </is>
      </c>
      <c r="I39" s="6" t="inlineStr">
        <is>
          <t>O.C.G.A. § 10-1-641 (see also § 10-1-645)</t>
        </is>
      </c>
      <c r="J39" s="6" t="inlineStr">
        <is>
          <t>medium</t>
        </is>
      </c>
      <c r="K39" s="6" t="inlineStr">
        <is>
          <t>mirror</t>
        </is>
      </c>
      <c r="L39" s="6" t="inlineStr">
        <is>
          <t>Mirror read: https://law.justia.com/codes/georgia/title-10/chapter-1/article-22/part-3/section-10-1-641/ (2025 Code of Georgia). Official portal: legis.ga.gov (O.C.G.A. hosted by LexisNexis).</t>
        </is>
      </c>
    </row>
    <row r="40">
      <c r="A40" s="6" t="inlineStr">
        <is>
          <t>GA</t>
        </is>
      </c>
      <c r="B40" s="6" t="inlineStr">
        <is>
          <t>CPO warranty</t>
        </is>
      </c>
      <c r="C40" s="6" t="inlineStr">
        <is>
          <t>Not addressed</t>
        </is>
      </c>
      <c r="D40" s="6" t="inlineStr">
        <is>
          <t>-</t>
        </is>
      </c>
      <c r="E40" s="6" t="inlineStr"/>
      <c r="F40" s="6" t="inlineStr"/>
      <c r="G40" s="6" t="inlineStr">
        <is>
          <t>“Warranty” means a written document signed or authorized by the party on whose behalf it is given which is made or given incident to the sale or lease of a new motor vehicle</t>
        </is>
      </c>
      <c r="H40" s="6" t="inlineStr">
        <is>
          <t>§ 10-1-622(15)</t>
        </is>
      </c>
      <c r="I40" s="6" t="inlineStr">
        <is>
          <t>O.C.G.A. § 10-1-641 (see also § 10-1-645)</t>
        </is>
      </c>
      <c r="J40" s="6" t="inlineStr">
        <is>
          <t>medium</t>
        </is>
      </c>
      <c r="K40" s="6" t="inlineStr">
        <is>
          <t>mirror</t>
        </is>
      </c>
      <c r="L40" s="6" t="inlineStr">
        <is>
          <t>Mirror read: https://law.justia.com/codes/georgia/title-10/chapter-1/article-22/part-3/section-10-1-641/ (2025 Code of Georgia). Official portal: legis.ga.gov (O.C.G.A. hosted by LexisNexis).</t>
        </is>
      </c>
    </row>
    <row r="41">
      <c r="A41" s="6" t="inlineStr">
        <is>
          <t>GA</t>
        </is>
      </c>
      <c r="B41" s="6" t="inlineStr">
        <is>
          <t>Independent service contract</t>
        </is>
      </c>
      <c r="C41" s="6" t="inlineStr">
        <is>
          <t>Not reached</t>
        </is>
      </c>
      <c r="D41" s="6" t="inlineStr">
        <is>
          <t>-</t>
        </is>
      </c>
      <c r="E41" s="6" t="inlineStr"/>
      <c r="F41" s="6" t="inlineStr"/>
      <c r="G41" s="6" t="inlineStr">
        <is>
          <t>Such term does not include service contracts, mechanical or other insurance, or “extended warranties” sold for separate consideration by a dealer or other person not controlled by a manufacturer or distributor.</t>
        </is>
      </c>
      <c r="H41" s="6" t="inlineStr">
        <is>
          <t>§ 10-1-622(15)</t>
        </is>
      </c>
      <c r="I41" s="6" t="inlineStr">
        <is>
          <t>O.C.G.A. § 10-1-641 (see also § 10-1-645)</t>
        </is>
      </c>
      <c r="J41" s="6" t="inlineStr">
        <is>
          <t>medium</t>
        </is>
      </c>
      <c r="K41" s="6" t="inlineStr">
        <is>
          <t>mirror</t>
        </is>
      </c>
      <c r="L41" s="6" t="inlineStr">
        <is>
          <t>Mirror read: https://law.justia.com/codes/georgia/title-10/chapter-1/article-22/part-3/section-10-1-641/ (2025 Code of Georgia). Official portal: legis.ga.gov (O.C.G.A. hosted by LexisNexis).</t>
        </is>
      </c>
    </row>
    <row r="42">
      <c r="A42" s="6" t="inlineStr">
        <is>
          <t>HI</t>
        </is>
      </c>
      <c r="B42" s="6" t="inlineStr">
        <is>
          <t>Factory warranty</t>
        </is>
      </c>
      <c r="C42" s="6" t="inlineStr">
        <is>
          <t>Required</t>
        </is>
      </c>
      <c r="D42" s="6" t="inlineStr">
        <is>
          <t>Statute silent on time / not established</t>
        </is>
      </c>
      <c r="E42" s="6" t="inlineStr"/>
      <c r="F42" s="6" t="inlineStr">
        <is>
          <t>Retail rate: warranty labor rate per hour can be no less than the rate the dealer charges retail customers, and no more than it. The statute gives no RO-sample method for labor; the RO method in § 437-56(b) is for parts markup only.</t>
        </is>
      </c>
      <c r="G42" s="6" t="inlineStr">
        <is>
          <t>In no event shall any manufacturer or distributor pay its dealers a labor rate per hour for warranty work that is less than that charged by the dealer to the retail customers of the dealer</t>
        </is>
      </c>
      <c r="H42" s="6" t="inlineStr">
        <is>
          <t>§ 437-28(a)(21)(G)</t>
        </is>
      </c>
      <c r="I42" s="6" t="inlineStr">
        <is>
          <t>Haw. Rev. Stat. § 437-28(a)(21)(G) (labor); § 437-56 (parts, claims)</t>
        </is>
      </c>
      <c r="J42" s="6" t="inlineStr">
        <is>
          <t>high</t>
        </is>
      </c>
      <c r="K42" s="6" t="inlineStr">
        <is>
          <t>official</t>
        </is>
      </c>
      <c r="L42" s="6" t="inlineStr">
        <is>
          <t>https://data.capitol.hawaii.gov/hrscurrent/Vol10_Ch0436-0474/HRS0437/HRS_0437-0028.htm (the legislature's own data host; www.capitol.hawaii.gov returned a Cloudflare 403). Cross-checked against the Justia 2025 HRS mirror.</t>
        </is>
      </c>
    </row>
    <row r="43">
      <c r="A43" s="6" t="inlineStr">
        <is>
          <t>HI</t>
        </is>
      </c>
      <c r="B43" s="6" t="inlineStr">
        <is>
          <t>Mfr-backed service contract</t>
        </is>
      </c>
      <c r="C43" s="6" t="inlineStr">
        <is>
          <t>Not addressed</t>
        </is>
      </c>
      <c r="D43" s="6" t="inlineStr">
        <is>
          <t>-</t>
        </is>
      </c>
      <c r="E43" s="6" t="inlineStr"/>
      <c r="F43" s="6" t="inlineStr"/>
      <c r="G43" s="6" t="inlineStr">
        <is>
          <t>failed to adequately and fairly compensate its dealers for labor incurred by the dealer to perform under and comply with manufacturer's warranty agreements</t>
        </is>
      </c>
      <c r="H43" s="6" t="inlineStr">
        <is>
          <t>§ 437-28(a)(21)(G)</t>
        </is>
      </c>
      <c r="I43" s="6" t="inlineStr">
        <is>
          <t>Haw. Rev. Stat. § 437-28(a)(21)(G) (labor); § 437-56 (parts, claims)</t>
        </is>
      </c>
      <c r="J43" s="6" t="inlineStr">
        <is>
          <t>high</t>
        </is>
      </c>
      <c r="K43" s="6" t="inlineStr">
        <is>
          <t>official</t>
        </is>
      </c>
      <c r="L43" s="6" t="inlineStr">
        <is>
          <t>https://data.capitol.hawaii.gov/hrscurrent/Vol10_Ch0436-0474/HRS0437/HRS_0437-0028.htm (the legislature's own data host; www.capitol.hawaii.gov returned a Cloudflare 403). Cross-checked against the Justia 2025 HRS mirror.</t>
        </is>
      </c>
    </row>
    <row r="44">
      <c r="A44" s="6" t="inlineStr">
        <is>
          <t>HI</t>
        </is>
      </c>
      <c r="B44" s="6" t="inlineStr">
        <is>
          <t>CPO warranty</t>
        </is>
      </c>
      <c r="C44" s="6" t="inlineStr">
        <is>
          <t>Not addressed</t>
        </is>
      </c>
      <c r="D44" s="6" t="inlineStr">
        <is>
          <t>-</t>
        </is>
      </c>
      <c r="E44" s="6" t="inlineStr"/>
      <c r="F44" s="6" t="inlineStr"/>
      <c r="G44" s="6" t="inlineStr">
        <is>
          <t>failed to adequately and fairly compensate its dealers for labor incurred by the dealer to perform under and comply with manufacturer's warranty agreements</t>
        </is>
      </c>
      <c r="H44" s="6" t="inlineStr">
        <is>
          <t>§ 437-28(a)(21)(G)</t>
        </is>
      </c>
      <c r="I44" s="6" t="inlineStr">
        <is>
          <t>Haw. Rev. Stat. § 437-28(a)(21)(G) (labor); § 437-56 (parts, claims)</t>
        </is>
      </c>
      <c r="J44" s="6" t="inlineStr">
        <is>
          <t>high</t>
        </is>
      </c>
      <c r="K44" s="6" t="inlineStr">
        <is>
          <t>official</t>
        </is>
      </c>
      <c r="L44" s="6" t="inlineStr">
        <is>
          <t>https://data.capitol.hawaii.gov/hrscurrent/Vol10_Ch0436-0474/HRS0437/HRS_0437-0028.htm (the legislature's own data host; www.capitol.hawaii.gov returned a Cloudflare 403). Cross-checked against the Justia 2025 HRS mirror.</t>
        </is>
      </c>
    </row>
    <row r="45">
      <c r="A45" s="6" t="inlineStr">
        <is>
          <t>HI</t>
        </is>
      </c>
      <c r="B45" s="6" t="inlineStr">
        <is>
          <t>Independent service contract</t>
        </is>
      </c>
      <c r="C45" s="6" t="inlineStr">
        <is>
          <t>Not addressed</t>
        </is>
      </c>
      <c r="D45" s="6" t="inlineStr">
        <is>
          <t>-</t>
        </is>
      </c>
      <c r="E45" s="6" t="inlineStr"/>
      <c r="F45" s="6" t="inlineStr"/>
      <c r="G45" s="6" t="inlineStr">
        <is>
          <t>In determining qualifying repair orders for parts, the following work shall not be included: repairs for manufacturer or distributor special events; repairs covered by any insurance or service contract</t>
        </is>
      </c>
      <c r="H45" s="6" t="inlineStr">
        <is>
          <t>§ 437-56(c) (parts-markup RO exclusion only)</t>
        </is>
      </c>
      <c r="I45" s="6" t="inlineStr">
        <is>
          <t>Haw. Rev. Stat. § 437-28(a)(21)(G) (labor); § 437-56 (parts, claims)</t>
        </is>
      </c>
      <c r="J45" s="6" t="inlineStr">
        <is>
          <t>high</t>
        </is>
      </c>
      <c r="K45" s="6" t="inlineStr">
        <is>
          <t>official</t>
        </is>
      </c>
      <c r="L45" s="6" t="inlineStr">
        <is>
          <t>https://data.capitol.hawaii.gov/hrscurrent/Vol10_Ch0436-0474/HRS0437/HRS_0437-0028.htm (the legislature's own data host; www.capitol.hawaii.gov returned a Cloudflare 403). Cross-checked against the Justia 2025 HRS mirror.</t>
        </is>
      </c>
    </row>
    <row r="46">
      <c r="A46" s="6" t="inlineStr">
        <is>
          <t>IA</t>
        </is>
      </c>
      <c r="B46" s="6" t="inlineStr">
        <is>
          <t>Factory warranty</t>
        </is>
      </c>
      <c r="C46" s="6" t="inlineStr">
        <is>
          <t>Required</t>
        </is>
      </c>
      <c r="D46" s="6" t="inlineStr">
        <is>
          <t>Factory time (reasonable/adequate standard where stated)</t>
        </is>
      </c>
      <c r="E46" s="6" t="inlineStr"/>
      <c r="F46" s="6" t="inlineStr">
        <is>
          <t>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is>
      </c>
      <c r="G46" s="6" t="inlineStr">
        <is>
          <t>The franchiser shall provide to the franchisee a list of time allowances for the performance of warranty services. Time allowances for the performance of warranty services, including diagnostic services, shall be reasonable and adequate for the services to be performed.</t>
        </is>
      </c>
      <c r="H46" s="6" t="inlineStr">
        <is>
          <t>§ 322A.5(2)(c)</t>
        </is>
      </c>
      <c r="I46" s="6" t="inlineStr">
        <is>
          <t>Iowa Code § 322A.5</t>
        </is>
      </c>
      <c r="J46" s="6" t="inlineStr">
        <is>
          <t>high</t>
        </is>
      </c>
      <c r="K46" s="6" t="inlineStr">
        <is>
          <t>official</t>
        </is>
      </c>
      <c r="L46" s="6" t="inlineStr">
        <is>
          <t>https://www.legis.iowa.gov/docs/code/322A.5.pdf (Iowa Code 2026; chapter PDF https://www.legis.iowa.gov/docs/code/322A.pdf)</t>
        </is>
      </c>
    </row>
    <row r="47">
      <c r="A47" s="6" t="inlineStr">
        <is>
          <t>IA</t>
        </is>
      </c>
      <c r="B47" s="6" t="inlineStr">
        <is>
          <t>Mfr-backed service contract</t>
        </is>
      </c>
      <c r="C47" s="6" t="inlineStr">
        <is>
          <t>Not addressed</t>
        </is>
      </c>
      <c r="D47" s="6" t="inlineStr">
        <is>
          <t>-</t>
        </is>
      </c>
      <c r="E47" s="6" t="inlineStr"/>
      <c r="F47" s="6" t="inlineStr"/>
      <c r="G47" s="6" t="inlineStr">
        <is>
          <t>compensate the franchisee for the warranty services the franchiser requires the franchisee to provide, including warranty and recall obligations related to repairing and servicing motor vehicles of the franchiser</t>
        </is>
      </c>
      <c r="H47" s="6" t="inlineStr">
        <is>
          <t>§ 322A.5(2)(a)</t>
        </is>
      </c>
      <c r="I47" s="6" t="inlineStr">
        <is>
          <t>Iowa Code § 322A.5</t>
        </is>
      </c>
      <c r="J47" s="6" t="inlineStr">
        <is>
          <t>high</t>
        </is>
      </c>
      <c r="K47" s="6" t="inlineStr">
        <is>
          <t>official</t>
        </is>
      </c>
      <c r="L47" s="6" t="inlineStr">
        <is>
          <t>https://www.legis.iowa.gov/docs/code/322A.5.pdf (Iowa Code 2026; chapter PDF https://www.legis.iowa.gov/docs/code/322A.pdf)</t>
        </is>
      </c>
    </row>
    <row r="48">
      <c r="A48" s="6" t="inlineStr">
        <is>
          <t>IA</t>
        </is>
      </c>
      <c r="B48" s="6" t="inlineStr">
        <is>
          <t>CPO warranty</t>
        </is>
      </c>
      <c r="C48" s="6" t="inlineStr">
        <is>
          <t>Not addressed</t>
        </is>
      </c>
      <c r="D48" s="6" t="inlineStr">
        <is>
          <t>-</t>
        </is>
      </c>
      <c r="E48" s="6" t="inlineStr"/>
      <c r="F48" s="6" t="inlineStr"/>
      <c r="G48" s="6" t="inlineStr">
        <is>
          <t>compensate the franchisee for the warranty services the franchiser requires the franchisee to provide, including warranty and recall obligations related to repairing and servicing motor vehicles of the franchiser</t>
        </is>
      </c>
      <c r="H48" s="6" t="inlineStr">
        <is>
          <t>§ 322A.5(2)(a)</t>
        </is>
      </c>
      <c r="I48" s="6" t="inlineStr">
        <is>
          <t>Iowa Code § 322A.5</t>
        </is>
      </c>
      <c r="J48" s="6" t="inlineStr">
        <is>
          <t>high</t>
        </is>
      </c>
      <c r="K48" s="6" t="inlineStr">
        <is>
          <t>official</t>
        </is>
      </c>
      <c r="L48" s="6" t="inlineStr">
        <is>
          <t>https://www.legis.iowa.gov/docs/code/322A.5.pdf (Iowa Code 2026; chapter PDF https://www.legis.iowa.gov/docs/code/322A.pdf)</t>
        </is>
      </c>
    </row>
    <row r="49">
      <c r="A49" s="6" t="inlineStr">
        <is>
          <t>IA</t>
        </is>
      </c>
      <c r="B49" s="6" t="inlineStr">
        <is>
          <t>Independent service contract</t>
        </is>
      </c>
      <c r="C49" s="6" t="inlineStr">
        <is>
          <t>Not addressed</t>
        </is>
      </c>
      <c r="D49" s="6" t="inlineStr">
        <is>
          <t>-</t>
        </is>
      </c>
      <c r="E49" s="6" t="inlineStr"/>
      <c r="F49" s="6" t="inlineStr"/>
      <c r="G49" s="6" t="inlineStr">
        <is>
          <t>The compensation to the franchisee for warranty parts and labor shall not be less than the rates charged by the franchisee for like parts and services to retail customers, provided the rates are reasonable.</t>
        </is>
      </c>
      <c r="H49" s="6" t="inlineStr">
        <is>
          <t>§ 322A.5(2)(b)(4)</t>
        </is>
      </c>
      <c r="I49" s="6" t="inlineStr">
        <is>
          <t>Iowa Code § 322A.5</t>
        </is>
      </c>
      <c r="J49" s="6" t="inlineStr">
        <is>
          <t>high</t>
        </is>
      </c>
      <c r="K49" s="6" t="inlineStr">
        <is>
          <t>official</t>
        </is>
      </c>
      <c r="L49" s="6" t="inlineStr">
        <is>
          <t>https://www.legis.iowa.gov/docs/code/322A.5.pdf (Iowa Code 2026; chapter PDF https://www.legis.iowa.gov/docs/code/322A.pdf)</t>
        </is>
      </c>
    </row>
    <row r="50">
      <c r="A50" s="6" t="inlineStr">
        <is>
          <t>ID</t>
        </is>
      </c>
      <c r="B50" s="6" t="inlineStr">
        <is>
          <t>Factory warranty</t>
        </is>
      </c>
      <c r="C50" s="6" t="inlineStr">
        <is>
          <t>Required</t>
        </is>
      </c>
      <c r="D50" s="6" t="inlineStr">
        <is>
          <t>Factory time (reasonable/adequate standard where stated)</t>
        </is>
      </c>
      <c r="E50" s="6" t="inlineStr"/>
      <c r="F50" s="6" t="inlineStr">
        <is>
          <t>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is>
      </c>
      <c r="G50" s="6" t="inlineStr">
        <is>
          <t>Time allowances for the diagnosis and performance of warranty work and service shall be reasonable and adequate for the work to be performed.</t>
        </is>
      </c>
      <c r="H50" s="6" t="inlineStr">
        <is>
          <t>§ 49-1626(2); see (1) (manufacturer provides 'the time allowance for the performance of that work')</t>
        </is>
      </c>
      <c r="I50" s="6" t="inlineStr">
        <is>
          <t>Idaho Code § 49-1626</t>
        </is>
      </c>
      <c r="J50" s="6" t="inlineStr">
        <is>
          <t>high</t>
        </is>
      </c>
      <c r="K50" s="6" t="inlineStr">
        <is>
          <t>official</t>
        </is>
      </c>
      <c r="L50" s="6" t="inlineStr">
        <is>
          <t>https://legislature.idaho.gov/statutesrules/idstat/title49/t49ch16/sect49-1626/ (also the chapter PDF https://legislature.idaho.gov/wp-content/uploads/statutesrules/idstat/Title49/T49CH16.pdf)</t>
        </is>
      </c>
    </row>
    <row r="51">
      <c r="A51" s="6" t="inlineStr">
        <is>
          <t>ID</t>
        </is>
      </c>
      <c r="B51" s="6" t="inlineStr">
        <is>
          <t>Mfr-backed service contract</t>
        </is>
      </c>
      <c r="C51" s="6" t="inlineStr">
        <is>
          <t>Not addressed</t>
        </is>
      </c>
      <c r="D51" s="6" t="inlineStr">
        <is>
          <t>-</t>
        </is>
      </c>
      <c r="E51" s="6" t="inlineStr"/>
      <c r="F51" s="6" t="inlineStr"/>
      <c r="G51" s="6" t="inlineStr">
        <is>
          <t>to coerce, or attempt to coerce, any dealer in this state to offer to sell or sell any extended service contract or extended maintenance plan that is offered, sold, backed by or sponsored by the manufacturer or distributor</t>
        </is>
      </c>
      <c r="H51" s="6" t="inlineStr">
        <is>
          <t>§ 49-1613(4) (anti-coercion only; not a reimbursement rule)</t>
        </is>
      </c>
      <c r="I51" s="6" t="inlineStr">
        <is>
          <t>Idaho Code § 49-1626</t>
        </is>
      </c>
      <c r="J51" s="6" t="inlineStr">
        <is>
          <t>high</t>
        </is>
      </c>
      <c r="K51" s="6" t="inlineStr">
        <is>
          <t>official</t>
        </is>
      </c>
      <c r="L51" s="6" t="inlineStr">
        <is>
          <t>https://legislature.idaho.gov/statutesrules/idstat/title49/t49ch16/sect49-1626/ (also the chapter PDF https://legislature.idaho.gov/wp-content/uploads/statutesrules/idstat/Title49/T49CH16.pdf)</t>
        </is>
      </c>
    </row>
    <row r="52">
      <c r="A52" s="6" t="inlineStr">
        <is>
          <t>ID</t>
        </is>
      </c>
      <c r="B52" s="6" t="inlineStr">
        <is>
          <t>CPO warranty</t>
        </is>
      </c>
      <c r="C52" s="6" t="inlineStr">
        <is>
          <t>Not addressed</t>
        </is>
      </c>
      <c r="D52" s="6" t="inlineStr">
        <is>
          <t>-</t>
        </is>
      </c>
      <c r="E52" s="6" t="inlineStr"/>
      <c r="F52" s="6" t="inlineStr"/>
      <c r="G52" s="6" t="inlineStr">
        <is>
          <t>Each manufacturer or distributor shall specify in writing to each of its dealers licensed in this state, the dealer's obligations for predelivery preparation and warranty service on its products</t>
        </is>
      </c>
      <c r="H52" s="6" t="inlineStr">
        <is>
          <t>§ 49-1626(1)</t>
        </is>
      </c>
      <c r="I52" s="6" t="inlineStr">
        <is>
          <t>Idaho Code § 49-1626</t>
        </is>
      </c>
      <c r="J52" s="6" t="inlineStr">
        <is>
          <t>high</t>
        </is>
      </c>
      <c r="K52" s="6" t="inlineStr">
        <is>
          <t>official</t>
        </is>
      </c>
      <c r="L52" s="6" t="inlineStr">
        <is>
          <t>https://legislature.idaho.gov/statutesrules/idstat/title49/t49ch16/sect49-1626/ (also the chapter PDF https://legislature.idaho.gov/wp-content/uploads/statutesrules/idstat/Title49/T49CH16.pdf)</t>
        </is>
      </c>
    </row>
    <row r="53">
      <c r="A53" s="6" t="inlineStr">
        <is>
          <t>ID</t>
        </is>
      </c>
      <c r="B53" s="6" t="inlineStr">
        <is>
          <t>Independent service contract</t>
        </is>
      </c>
      <c r="C53" s="6" t="inlineStr">
        <is>
          <t>Not addressed</t>
        </is>
      </c>
      <c r="D53" s="6" t="inlineStr">
        <is>
          <t>-</t>
        </is>
      </c>
      <c r="E53" s="6" t="inlineStr"/>
      <c r="F53" s="6" t="inlineStr"/>
      <c r="G53" s="6" t="inlineStr">
        <is>
          <t>the following shall not be considered in determining amounts charged by the dealer to retail customers: ... (iii) Repairs covered by any insurance or service contract</t>
        </is>
      </c>
      <c r="H53" s="6" t="inlineStr">
        <is>
          <t>§ 49-1626(11)(a)(iii) (retail-rate RO exclusion only)</t>
        </is>
      </c>
      <c r="I53" s="6" t="inlineStr">
        <is>
          <t>Idaho Code § 49-1626</t>
        </is>
      </c>
      <c r="J53" s="6" t="inlineStr">
        <is>
          <t>high</t>
        </is>
      </c>
      <c r="K53" s="6" t="inlineStr">
        <is>
          <t>official</t>
        </is>
      </c>
      <c r="L53" s="6" t="inlineStr">
        <is>
          <t>https://legislature.idaho.gov/statutesrules/idstat/title49/t49ch16/sect49-1626/ (also the chapter PDF https://legislature.idaho.gov/wp-content/uploads/statutesrules/idstat/Title49/T49CH16.pdf)</t>
        </is>
      </c>
    </row>
    <row r="54">
      <c r="A54" s="6" t="inlineStr">
        <is>
          <t>IL</t>
        </is>
      </c>
      <c r="B54" s="6" t="inlineStr">
        <is>
          <t>Factory warranty</t>
        </is>
      </c>
      <c r="C54" s="6" t="inlineStr">
        <is>
          <t>Required</t>
        </is>
      </c>
      <c r="D54" s="6" t="inlineStr">
        <is>
          <t>OEM time x multiplier</t>
        </is>
      </c>
      <c r="E54" s="6" t="inlineStr"/>
      <c r="F54" s="6" t="inlineStr">
        <is>
          <t>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is>
      </c>
      <c r="G54" s="6" t="inlineStr">
        <is>
          <t>In the event that a time guide has not been agreed to for warranty repairs, or said time guide does not define time for an applicable warranty repair, the manufacturer's time guide shall be used, multiplied by 1.5.</t>
        </is>
      </c>
      <c r="H54" s="6" t="inlineStr">
        <is>
          <t>710/6(b)</t>
        </is>
      </c>
      <c r="I54" s="6" t="inlineStr">
        <is>
          <t>815 ILCS 710/6</t>
        </is>
      </c>
      <c r="J54" s="6" t="inlineStr">
        <is>
          <t>medium</t>
        </is>
      </c>
      <c r="K54" s="6" t="inlineStr">
        <is>
          <t>official</t>
        </is>
      </c>
      <c r="L54" s="6" t="inlineStr">
        <is>
          <t>https://www.ilga.gov/Documents/legislation/ilcs/documents/081507100K6.htm (full act: https://www.ilga.gov/legislation/ilcs/ilcs3.asp?ActID=2382&amp;ChapterID=67)</t>
        </is>
      </c>
    </row>
    <row r="55">
      <c r="A55" s="6" t="inlineStr">
        <is>
          <t>IL</t>
        </is>
      </c>
      <c r="B55" s="6" t="inlineStr">
        <is>
          <t>Mfr-backed service contract</t>
        </is>
      </c>
      <c r="C55" s="6" t="inlineStr">
        <is>
          <t>Conditional</t>
        </is>
      </c>
      <c r="D55" s="6" t="inlineStr">
        <is>
          <t>OEM time x multiplier</t>
        </is>
      </c>
      <c r="E55" s="6" t="inlineStr"/>
      <c r="F55" s="6" t="inlineStr"/>
      <c r="G55" s="6" t="inlineStr">
        <is>
          <t>shall apply to any parent, subsidiary, affiliate, or agent of the motor vehicle franchiser ... if a warranty or service or repair plan is issued by that person instead of or in addition to one issued by the motor vehicle franchiser</t>
        </is>
      </c>
      <c r="H55" s="6" t="inlineStr">
        <is>
          <t>710/6(f); also 710/6(b) ('time guide ... for extended warranty repairs')</t>
        </is>
      </c>
      <c r="I55" s="6" t="inlineStr">
        <is>
          <t>815 ILCS 710/6</t>
        </is>
      </c>
      <c r="J55" s="6" t="inlineStr">
        <is>
          <t>medium</t>
        </is>
      </c>
      <c r="K55" s="6" t="inlineStr">
        <is>
          <t>official</t>
        </is>
      </c>
      <c r="L55" s="6" t="inlineStr">
        <is>
          <t>https://www.ilga.gov/Documents/legislation/ilcs/documents/081507100K6.htm (full act: https://www.ilga.gov/legislation/ilcs/ilcs3.asp?ActID=2382&amp;ChapterID=67)</t>
        </is>
      </c>
    </row>
    <row r="56">
      <c r="A56" s="6" t="inlineStr">
        <is>
          <t>IL</t>
        </is>
      </c>
      <c r="B56" s="6" t="inlineStr">
        <is>
          <t>CPO warranty</t>
        </is>
      </c>
      <c r="C56" s="6" t="inlineStr">
        <is>
          <t>Conditional</t>
        </is>
      </c>
      <c r="D56" s="6" t="inlineStr">
        <is>
          <t>OEM time x multiplier</t>
        </is>
      </c>
      <c r="E56" s="6" t="inlineStr"/>
      <c r="F56" s="6" t="inlineStr"/>
      <c r="G56" s="6" t="inlineStr">
        <is>
          <t>No warranty or factory compensated repairs shall be excluded from this requirement, including recalls or other voluntary stop-sell repairs required by the manufacturer.</t>
        </is>
      </c>
      <c r="H56" s="6" t="inlineStr">
        <is>
          <t>710/6(b)</t>
        </is>
      </c>
      <c r="I56" s="6" t="inlineStr">
        <is>
          <t>815 ILCS 710/6</t>
        </is>
      </c>
      <c r="J56" s="6" t="inlineStr">
        <is>
          <t>medium</t>
        </is>
      </c>
      <c r="K56" s="6" t="inlineStr">
        <is>
          <t>official</t>
        </is>
      </c>
      <c r="L56" s="6" t="inlineStr">
        <is>
          <t>https://www.ilga.gov/Documents/legislation/ilcs/documents/081507100K6.htm (full act: https://www.ilga.gov/legislation/ilcs/ilcs3.asp?ActID=2382&amp;ChapterID=67)</t>
        </is>
      </c>
    </row>
    <row r="57">
      <c r="A57" s="6" t="inlineStr">
        <is>
          <t>IL</t>
        </is>
      </c>
      <c r="B57" s="6" t="inlineStr">
        <is>
          <t>Independent service contract</t>
        </is>
      </c>
      <c r="C57" s="6" t="inlineStr">
        <is>
          <t>Not addressed</t>
        </is>
      </c>
      <c r="D57" s="6" t="inlineStr">
        <is>
          <t>-</t>
        </is>
      </c>
      <c r="E57" s="6" t="inlineStr"/>
      <c r="F57" s="6" t="inlineStr"/>
      <c r="G57" s="6" t="inlineStr">
        <is>
          <t>shall properly fulfill any warranty agreement and adequately and fairly compensate each of its motor vehicle dealers for labor and parts</t>
        </is>
      </c>
      <c r="H57" s="6" t="inlineStr">
        <is>
          <t>710/6(a)</t>
        </is>
      </c>
      <c r="I57" s="6" t="inlineStr">
        <is>
          <t>815 ILCS 710/6</t>
        </is>
      </c>
      <c r="J57" s="6" t="inlineStr">
        <is>
          <t>medium</t>
        </is>
      </c>
      <c r="K57" s="6" t="inlineStr">
        <is>
          <t>official</t>
        </is>
      </c>
      <c r="L57" s="6" t="inlineStr">
        <is>
          <t>https://www.ilga.gov/Documents/legislation/ilcs/documents/081507100K6.htm (full act: https://www.ilga.gov/legislation/ilcs/ilcs3.asp?ActID=2382&amp;ChapterID=67)</t>
        </is>
      </c>
    </row>
    <row r="58">
      <c r="A58" s="6" t="inlineStr">
        <is>
          <t>IN</t>
        </is>
      </c>
      <c r="B58" s="6" t="inlineStr">
        <is>
          <t>Factory warranty</t>
        </is>
      </c>
      <c r="C58" s="6" t="inlineStr">
        <is>
          <t>Required</t>
        </is>
      </c>
      <c r="D58" s="6" t="inlineStr">
        <is>
          <t>Statute silent on time / not established</t>
        </is>
      </c>
      <c r="E58" s="6" t="inlineStr"/>
      <c r="F58" s="6" t="inlineStr">
        <is>
          <t>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is>
      </c>
      <c r="G58" s="6" t="inlineStr">
        <is>
          <t>Unless otherwise agreed, it is an unfair practice for a manufacturer or distributor to fail to compensate a dealer anything less than the dealer's retail rates for parts or labor the dealer uses in performing the warranty services</t>
        </is>
      </c>
      <c r="H58" s="6" t="inlineStr">
        <is>
          <t>§ 9-32-13-15.5(b)</t>
        </is>
      </c>
      <c r="I58" s="6" t="inlineStr">
        <is>
          <t>Ind. Code § 9-32-13-15.5 (with § 9-32-13-15; § 9-32-13-16 optional uniform policy; § 9-32-13-17 claims)</t>
        </is>
      </c>
      <c r="J58" s="6" t="inlineStr">
        <is>
          <t>high</t>
        </is>
      </c>
      <c r="K58" s="6" t="inlineStr">
        <is>
          <t>official</t>
        </is>
      </c>
      <c r="L58" s="6" t="inlineStr">
        <is>
          <t>https://iga.in.gov/ic/2026/Title_9.pdf (official Indiana Code 2026, Title 9; § 9-32-13-15.5 at 'Compensation for warranty services')</t>
        </is>
      </c>
    </row>
    <row r="59">
      <c r="A59" s="6" t="inlineStr">
        <is>
          <t>IN</t>
        </is>
      </c>
      <c r="B59" s="6" t="inlineStr">
        <is>
          <t>Mfr-backed service contract</t>
        </is>
      </c>
      <c r="C59" s="6" t="inlineStr">
        <is>
          <t>Not addressed</t>
        </is>
      </c>
      <c r="D59" s="6" t="inlineStr">
        <is>
          <t>-</t>
        </is>
      </c>
      <c r="E59" s="6" t="inlineStr"/>
      <c r="F59" s="6" t="inlineStr"/>
      <c r="G59" s="6" t="inlineStr">
        <is>
          <t>selling or offering for sale a service contract, a debt cancellation agreement, a maintenance agreement, or any similar product that is approved, endorsed, sponsored, or offered by the manufacturer, distributor, affiliate, or captive finance source</t>
        </is>
      </c>
      <c r="H59" s="6" t="inlineStr">
        <is>
          <t>§ 9-32-13-30.1(a) (anti-coercion on sales only)</t>
        </is>
      </c>
      <c r="I59" s="6" t="inlineStr">
        <is>
          <t>Ind. Code § 9-32-13-15.5 (with § 9-32-13-15; § 9-32-13-16 optional uniform policy; § 9-32-13-17 claims)</t>
        </is>
      </c>
      <c r="J59" s="6" t="inlineStr">
        <is>
          <t>high</t>
        </is>
      </c>
      <c r="K59" s="6" t="inlineStr">
        <is>
          <t>official</t>
        </is>
      </c>
      <c r="L59" s="6" t="inlineStr">
        <is>
          <t>https://iga.in.gov/ic/2026/Title_9.pdf (official Indiana Code 2026, Title 9; § 9-32-13-15.5 at 'Compensation for warranty services')</t>
        </is>
      </c>
    </row>
    <row r="60">
      <c r="A60" s="6" t="inlineStr">
        <is>
          <t>IN</t>
        </is>
      </c>
      <c r="B60" s="6" t="inlineStr">
        <is>
          <t>CPO warranty</t>
        </is>
      </c>
      <c r="C60" s="6" t="inlineStr">
        <is>
          <t>Not addressed</t>
        </is>
      </c>
      <c r="D60" s="6" t="inlineStr">
        <is>
          <t>-</t>
        </is>
      </c>
      <c r="E60" s="6" t="inlineStr"/>
      <c r="F60" s="6" t="inlineStr"/>
      <c r="G60" s="6" t="inlineStr">
        <is>
          <t>fail to compensate a dealer anything less than the dealer's retail rate for labor and parts under the manufacturer's warranty agreements as long as the dealer's retail rate is reasonable</t>
        </is>
      </c>
      <c r="H60" s="6" t="inlineStr">
        <is>
          <t>§ 9-32-13-15(a)</t>
        </is>
      </c>
      <c r="I60" s="6" t="inlineStr">
        <is>
          <t>Ind. Code § 9-32-13-15.5 (with § 9-32-13-15; § 9-32-13-16 optional uniform policy; § 9-32-13-17 claims)</t>
        </is>
      </c>
      <c r="J60" s="6" t="inlineStr">
        <is>
          <t>high</t>
        </is>
      </c>
      <c r="K60" s="6" t="inlineStr">
        <is>
          <t>official</t>
        </is>
      </c>
      <c r="L60" s="6" t="inlineStr">
        <is>
          <t>https://iga.in.gov/ic/2026/Title_9.pdf (official Indiana Code 2026, Title 9; § 9-32-13-15.5 at 'Compensation for warranty services')</t>
        </is>
      </c>
    </row>
    <row r="61">
      <c r="A61" s="6" t="inlineStr">
        <is>
          <t>IN</t>
        </is>
      </c>
      <c r="B61" s="6" t="inlineStr">
        <is>
          <t>Independent service contract</t>
        </is>
      </c>
      <c r="C61" s="6" t="inlineStr">
        <is>
          <t>Not addressed</t>
        </is>
      </c>
      <c r="D61" s="6" t="inlineStr">
        <is>
          <t>-</t>
        </is>
      </c>
      <c r="E61" s="6" t="inlineStr"/>
      <c r="F61" s="6" t="inlineStr"/>
      <c r="G61" s="6" t="inlineStr">
        <is>
          <t>consider a dealer's sale of service contracts, debt cancellation agreements, maintenance agreements, or any similar product not approved, endorsed, sponsored, or offered by the manufacturer</t>
        </is>
      </c>
      <c r="H61" s="6" t="inlineStr">
        <is>
          <t>§ 9-32-13-30.1(b) (sales-side only)</t>
        </is>
      </c>
      <c r="I61" s="6" t="inlineStr">
        <is>
          <t>Ind. Code § 9-32-13-15.5 (with § 9-32-13-15; § 9-32-13-16 optional uniform policy; § 9-32-13-17 claims)</t>
        </is>
      </c>
      <c r="J61" s="6" t="inlineStr">
        <is>
          <t>high</t>
        </is>
      </c>
      <c r="K61" s="6" t="inlineStr">
        <is>
          <t>official</t>
        </is>
      </c>
      <c r="L61" s="6" t="inlineStr">
        <is>
          <t>https://iga.in.gov/ic/2026/Title_9.pdf (official Indiana Code 2026, Title 9; § 9-32-13-15.5 at 'Compensation for warranty services')</t>
        </is>
      </c>
    </row>
    <row r="62">
      <c r="A62" s="6" t="inlineStr">
        <is>
          <t>KS</t>
        </is>
      </c>
      <c r="B62" s="6" t="inlineStr">
        <is>
          <t>Factory warranty</t>
        </is>
      </c>
      <c r="C62" s="6" t="inlineStr">
        <is>
          <t>Required</t>
        </is>
      </c>
      <c r="D62" s="6" t="inlineStr">
        <is>
          <t>Statute silent on time / not established</t>
        </is>
      </c>
      <c r="E62" s="6" t="inlineStr"/>
      <c r="F62" s="6" t="inlineStr">
        <is>
          <t>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is>
      </c>
      <c r="G62" s="6" t="inlineStr">
        <is>
          <t>The compensation to the dealer for warranty parts and labor shall not be less than the rates charged by the dealer for like parts and services to retail customers, provided the rates are reasonable.</t>
        </is>
      </c>
      <c r="H62" s="6" t="inlineStr">
        <is>
          <t>8-2415(c)(3)</t>
        </is>
      </c>
      <c r="I62" s="6" t="inlineStr">
        <is>
          <t>K.S.A. 8-2415</t>
        </is>
      </c>
      <c r="J62" s="6" t="inlineStr">
        <is>
          <t>high</t>
        </is>
      </c>
      <c r="K62" s="6" t="inlineStr">
        <is>
          <t>official</t>
        </is>
      </c>
      <c r="L62" s="6" t="inlineStr">
        <is>
          <t>https://ksrevisor.gov/statutes/chapters/ch08/008_024_0015.html</t>
        </is>
      </c>
    </row>
    <row r="63">
      <c r="A63" s="6" t="inlineStr">
        <is>
          <t>KS</t>
        </is>
      </c>
      <c r="B63" s="6" t="inlineStr">
        <is>
          <t>Mfr-backed service contract</t>
        </is>
      </c>
      <c r="C63" s="6" t="inlineStr">
        <is>
          <t>Not addressed</t>
        </is>
      </c>
      <c r="D63" s="6" t="inlineStr">
        <is>
          <t>-</t>
        </is>
      </c>
      <c r="E63" s="6" t="inlineStr"/>
      <c r="F63" s="6" t="inlineStr"/>
      <c r="G63" s="6" t="inlineStr">
        <is>
          <t>compensate the dealer for the warranty services that the first or second stage manufacturer or distributor requires the dealer to provide, including warranty and recall obligations</t>
        </is>
      </c>
      <c r="H63" s="6" t="inlineStr">
        <is>
          <t>8-2415(c)(1)(B)</t>
        </is>
      </c>
      <c r="I63" s="6" t="inlineStr">
        <is>
          <t>K.S.A. 8-2415</t>
        </is>
      </c>
      <c r="J63" s="6" t="inlineStr">
        <is>
          <t>high</t>
        </is>
      </c>
      <c r="K63" s="6" t="inlineStr">
        <is>
          <t>official</t>
        </is>
      </c>
      <c r="L63" s="6" t="inlineStr">
        <is>
          <t>https://ksrevisor.gov/statutes/chapters/ch08/008_024_0015.html</t>
        </is>
      </c>
    </row>
    <row r="64">
      <c r="A64" s="6" t="inlineStr">
        <is>
          <t>KS</t>
        </is>
      </c>
      <c r="B64" s="6" t="inlineStr">
        <is>
          <t>CPO warranty</t>
        </is>
      </c>
      <c r="C64" s="6" t="inlineStr">
        <is>
          <t>Not addressed</t>
        </is>
      </c>
      <c r="D64" s="6" t="inlineStr">
        <is>
          <t>-</t>
        </is>
      </c>
      <c r="E64" s="6" t="inlineStr"/>
      <c r="F64" s="6" t="inlineStr"/>
      <c r="G64" s="6" t="inlineStr">
        <is>
          <t>shall pay reasonable compensation to any authorized new vehicle dealer who performs work to rectify warranty defects in the first or second stage manufacturer's or distributor's product</t>
        </is>
      </c>
      <c r="H64" s="6" t="inlineStr">
        <is>
          <t>8-2415(a)</t>
        </is>
      </c>
      <c r="I64" s="6" t="inlineStr">
        <is>
          <t>K.S.A. 8-2415</t>
        </is>
      </c>
      <c r="J64" s="6" t="inlineStr">
        <is>
          <t>high</t>
        </is>
      </c>
      <c r="K64" s="6" t="inlineStr">
        <is>
          <t>official</t>
        </is>
      </c>
      <c r="L64" s="6" t="inlineStr">
        <is>
          <t>https://ksrevisor.gov/statutes/chapters/ch08/008_024_0015.html</t>
        </is>
      </c>
    </row>
    <row r="65">
      <c r="A65" s="6" t="inlineStr">
        <is>
          <t>KS</t>
        </is>
      </c>
      <c r="B65" s="6" t="inlineStr">
        <is>
          <t>Independent service contract</t>
        </is>
      </c>
      <c r="C65" s="6" t="inlineStr">
        <is>
          <t>Not addressed</t>
        </is>
      </c>
      <c r="D65" s="6" t="inlineStr">
        <is>
          <t>-</t>
        </is>
      </c>
      <c r="E65" s="6" t="inlineStr"/>
      <c r="F65" s="6" t="inlineStr"/>
      <c r="G65" s="6" t="inlineStr">
        <is>
          <t>shall pay reasonable compensation to any authorized new vehicle dealer who performs work to rectify warranty defects in the first or second stage manufacturer's or distributor's product</t>
        </is>
      </c>
      <c r="H65" s="6" t="inlineStr">
        <is>
          <t>8-2415(a)</t>
        </is>
      </c>
      <c r="I65" s="6" t="inlineStr">
        <is>
          <t>K.S.A. 8-2415</t>
        </is>
      </c>
      <c r="J65" s="6" t="inlineStr">
        <is>
          <t>high</t>
        </is>
      </c>
      <c r="K65" s="6" t="inlineStr">
        <is>
          <t>official</t>
        </is>
      </c>
      <c r="L65" s="6" t="inlineStr">
        <is>
          <t>https://ksrevisor.gov/statutes/chapters/ch08/008_024_0015.html</t>
        </is>
      </c>
    </row>
    <row r="66">
      <c r="A66" s="6" t="inlineStr">
        <is>
          <t>KY</t>
        </is>
      </c>
      <c r="B66" s="6" t="inlineStr">
        <is>
          <t>Factory warranty</t>
        </is>
      </c>
      <c r="C66" s="6" t="inlineStr">
        <is>
          <t>Required</t>
        </is>
      </c>
      <c r="D66" s="6" t="inlineStr">
        <is>
          <t>Factory time (reasonable/adequate standard where stated)</t>
        </is>
      </c>
      <c r="E66" s="6" t="inlineStr"/>
      <c r="F66" s="6" t="inlineStr">
        <is>
          <t>'Reasonable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is>
      </c>
      <c r="G66" s="6" t="inlineStr">
        <is>
          <t>Each manufacturer or distributor shall provide to its dealers with each model year a schedule of time allowances for the performance of warranty repair work and services, ... and shall be reasonable and adequate for the work to be performed.</t>
        </is>
      </c>
      <c r="H66" s="6" t="inlineStr">
        <is>
          <t>§ 190.046(1); Class 7+ exception at (2)(d)4</t>
        </is>
      </c>
      <c r="I66" s="6" t="inlineStr">
        <is>
          <t>Ky. Rev. Stat. § 190.046 (with § 190.0462)</t>
        </is>
      </c>
      <c r="J66" s="6" t="inlineStr">
        <is>
          <t>high</t>
        </is>
      </c>
      <c r="K66" s="6" t="inlineStr">
        <is>
          <t>official</t>
        </is>
      </c>
      <c r="L66" s="6" t="inlineStr">
        <is>
          <t>https://apps.legislature.ky.gov/law/statutes/statute.aspx?id=57533 (effective July 15, 2026 version)</t>
        </is>
      </c>
    </row>
    <row r="67">
      <c r="A67" s="6" t="inlineStr">
        <is>
          <t>KY</t>
        </is>
      </c>
      <c r="B67" s="6" t="inlineStr">
        <is>
          <t>Mfr-backed service contract</t>
        </is>
      </c>
      <c r="C67" s="6" t="inlineStr">
        <is>
          <t>Not addressed</t>
        </is>
      </c>
      <c r="D67" s="6" t="inlineStr">
        <is>
          <t>-</t>
        </is>
      </c>
      <c r="E67" s="6" t="inlineStr"/>
      <c r="F67" s="6" t="inlineStr"/>
      <c r="G67" s="6" t="inlineStr">
        <is>
          <t>by virtue of any pass-through or extended warranty arrangement, governmental recall mandate, consent decree, judicial decree, litigation settlement, or other means, the component manufacturer shall be subject to all the requirements of this section</t>
        </is>
      </c>
      <c r="H67" s="6" t="inlineStr">
        <is>
          <t>§ 190.046(2)(d)5 (Class 7+ component manufacturers only)</t>
        </is>
      </c>
      <c r="I67" s="6" t="inlineStr">
        <is>
          <t>Ky. Rev. Stat. § 190.046 (with § 190.0462)</t>
        </is>
      </c>
      <c r="J67" s="6" t="inlineStr">
        <is>
          <t>high</t>
        </is>
      </c>
      <c r="K67" s="6" t="inlineStr">
        <is>
          <t>official</t>
        </is>
      </c>
      <c r="L67" s="6" t="inlineStr">
        <is>
          <t>https://apps.legislature.ky.gov/law/statutes/statute.aspx?id=57533 (effective July 15, 2026 version)</t>
        </is>
      </c>
    </row>
    <row r="68">
      <c r="A68" s="6" t="inlineStr">
        <is>
          <t>KY</t>
        </is>
      </c>
      <c r="B68" s="6" t="inlineStr">
        <is>
          <t>CPO warranty</t>
        </is>
      </c>
      <c r="C68" s="6" t="inlineStr">
        <is>
          <t>Not addressed</t>
        </is>
      </c>
      <c r="D68" s="6" t="inlineStr">
        <is>
          <t>-</t>
        </is>
      </c>
      <c r="E68" s="6" t="inlineStr"/>
      <c r="F68" s="6" t="inlineStr"/>
      <c r="G68" s="6" t="inlineStr">
        <is>
          <t>Each manufacturer or distributor shall pay reasonable compensation to any authorized dealer who performs work to repair defects</t>
        </is>
      </c>
      <c r="H68" s="6" t="inlineStr">
        <is>
          <t>§ 190.046(1)</t>
        </is>
      </c>
      <c r="I68" s="6" t="inlineStr">
        <is>
          <t>Ky. Rev. Stat. § 190.046 (with § 190.0462)</t>
        </is>
      </c>
      <c r="J68" s="6" t="inlineStr">
        <is>
          <t>high</t>
        </is>
      </c>
      <c r="K68" s="6" t="inlineStr">
        <is>
          <t>official</t>
        </is>
      </c>
      <c r="L68" s="6" t="inlineStr">
        <is>
          <t>https://apps.legislature.ky.gov/law/statutes/statute.aspx?id=57533 (effective July 15, 2026 version)</t>
        </is>
      </c>
    </row>
    <row r="69">
      <c r="A69" s="6" t="inlineStr">
        <is>
          <t>KY</t>
        </is>
      </c>
      <c r="B69" s="6" t="inlineStr">
        <is>
          <t>Independent service contract</t>
        </is>
      </c>
      <c r="C69" s="6" t="inlineStr">
        <is>
          <t>Not addressed</t>
        </is>
      </c>
      <c r="D69" s="6" t="inlineStr">
        <is>
          <t>-</t>
        </is>
      </c>
      <c r="E69" s="6" t="inlineStr"/>
      <c r="F69" s="6" t="inlineStr"/>
      <c r="G69" s="6" t="inlineStr">
        <is>
          <t>Each manufacturer or distributor shall pay reasonable compensation to any authorized dealer who performs work to repair defects</t>
        </is>
      </c>
      <c r="H69" s="6" t="inlineStr">
        <is>
          <t>§ 190.046(1)</t>
        </is>
      </c>
      <c r="I69" s="6" t="inlineStr">
        <is>
          <t>Ky. Rev. Stat. § 190.046 (with § 190.0462)</t>
        </is>
      </c>
      <c r="J69" s="6" t="inlineStr">
        <is>
          <t>high</t>
        </is>
      </c>
      <c r="K69" s="6" t="inlineStr">
        <is>
          <t>official</t>
        </is>
      </c>
      <c r="L69" s="6" t="inlineStr">
        <is>
          <t>https://apps.legislature.ky.gov/law/statutes/statute.aspx?id=57533 (effective July 15, 2026 version)</t>
        </is>
      </c>
    </row>
    <row r="70">
      <c r="A70" s="6" t="inlineStr">
        <is>
          <t>LA</t>
        </is>
      </c>
      <c r="B70" s="6" t="inlineStr">
        <is>
          <t>Factory warranty</t>
        </is>
      </c>
      <c r="C70" s="6" t="inlineStr">
        <is>
          <t>Required</t>
        </is>
      </c>
      <c r="D70" s="6" t="inlineStr">
        <is>
          <t>Factory time (reasonable/adequate standard where stated)</t>
        </is>
      </c>
      <c r="E70" s="6" t="inlineStr"/>
      <c r="F70" s="6" t="inlineStr">
        <is>
          <t>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is>
      </c>
      <c r="G70" s="6" t="inlineStr">
        <is>
          <t>Time allowances for the performance of warranty work shall be reasonable and adequate in relation to the nature and scope of the work for a qualified technician of ordinary skill to perform the work.</t>
        </is>
      </c>
      <c r="H70" s="6" t="inlineStr">
        <is>
          <t>§ 32:1262(A)(3)</t>
        </is>
      </c>
      <c r="I70" s="6" t="inlineStr">
        <is>
          <t>La. Rev. Stat. § 32:1262(A)</t>
        </is>
      </c>
      <c r="J70" s="6" t="inlineStr">
        <is>
          <t>high</t>
        </is>
      </c>
      <c r="K70" s="6" t="inlineStr">
        <is>
          <t>official</t>
        </is>
      </c>
      <c r="L70" s="6" t="inlineStr">
        <is>
          <t>https://legis.la.gov/Legis/LawPrint.aspx?d=321503 (also § 32:1252 at https://legis.la.gov/Legis/Law.aspx?d=88035 and § 32:1261 at https://legis.la.gov/Legis/Law.aspx?d=88047)</t>
        </is>
      </c>
    </row>
    <row r="71">
      <c r="A71" s="6" t="inlineStr">
        <is>
          <t>LA</t>
        </is>
      </c>
      <c r="B71" s="6" t="inlineStr">
        <is>
          <t>Mfr-backed service contract</t>
        </is>
      </c>
      <c r="C71" s="6" t="inlineStr">
        <is>
          <t>Not addressed</t>
        </is>
      </c>
      <c r="D71" s="6" t="inlineStr">
        <is>
          <t>-</t>
        </is>
      </c>
      <c r="E71" s="6" t="inlineStr"/>
      <c r="F71" s="6" t="inlineStr"/>
      <c r="G71" s="6" t="inlineStr">
        <is>
          <t>To coerce or attempt to coerce any retail motor vehicle dealer ... to offer to sell or sell any extended service contract or extended maintenance plan or gap product offered, sold, backed by, or sponsored by the manufacturer</t>
        </is>
      </c>
      <c r="H71" s="6" t="inlineStr">
        <is>
          <t>§ 32:1261(A)(1)(w)(i) (anti-coercion only)</t>
        </is>
      </c>
      <c r="I71" s="6" t="inlineStr">
        <is>
          <t>La. Rev. Stat. § 32:1262(A)</t>
        </is>
      </c>
      <c r="J71" s="6" t="inlineStr">
        <is>
          <t>high</t>
        </is>
      </c>
      <c r="K71" s="6" t="inlineStr">
        <is>
          <t>official</t>
        </is>
      </c>
      <c r="L71" s="6" t="inlineStr">
        <is>
          <t>https://legis.la.gov/Legis/LawPrint.aspx?d=321503 (also § 32:1252 at https://legis.la.gov/Legis/Law.aspx?d=88035 and § 32:1261 at https://legis.la.gov/Legis/Law.aspx?d=88047)</t>
        </is>
      </c>
    </row>
    <row r="72">
      <c r="A72" s="6" t="inlineStr">
        <is>
          <t>LA</t>
        </is>
      </c>
      <c r="B72" s="6" t="inlineStr">
        <is>
          <t>CPO warranty</t>
        </is>
      </c>
      <c r="C72" s="6" t="inlineStr">
        <is>
          <t>Required</t>
        </is>
      </c>
      <c r="D72" s="6" t="inlineStr">
        <is>
          <t>Factory time (reasonable/adequate standard where stated)</t>
        </is>
      </c>
      <c r="E72" s="6" t="inlineStr"/>
      <c r="F72" s="6" t="inlineStr"/>
      <c r="G72" s="6" t="inlineStr">
        <is>
          <t>"... warranty" means and includes a new motor vehicle warranty, a recall, or a certified pre-owned warranty of a manufacturer, distributor, wholesaler, factory branch, or distributor branch to repair or replace a defect in a vehicle or part.</t>
        </is>
      </c>
      <c r="H72" s="6" t="inlineStr">
        <is>
          <t>§ 32:1262(A)(1)(a); 'warranty work' at (A)(1)(f)</t>
        </is>
      </c>
      <c r="I72" s="6" t="inlineStr">
        <is>
          <t>La. Rev. Stat. § 32:1262(A)</t>
        </is>
      </c>
      <c r="J72" s="6" t="inlineStr">
        <is>
          <t>high</t>
        </is>
      </c>
      <c r="K72" s="6" t="inlineStr">
        <is>
          <t>official</t>
        </is>
      </c>
      <c r="L72" s="6" t="inlineStr">
        <is>
          <t>https://legis.la.gov/Legis/LawPrint.aspx?d=321503 (also § 32:1252 at https://legis.la.gov/Legis/Law.aspx?d=88035 and § 32:1261 at https://legis.la.gov/Legis/Law.aspx?d=88047)</t>
        </is>
      </c>
    </row>
    <row r="73">
      <c r="A73" s="6" t="inlineStr">
        <is>
          <t>LA</t>
        </is>
      </c>
      <c r="B73" s="6" t="inlineStr">
        <is>
          <t>Independent service contract</t>
        </is>
      </c>
      <c r="C73" s="6" t="inlineStr">
        <is>
          <t>Not addressed</t>
        </is>
      </c>
      <c r="D73" s="6" t="inlineStr">
        <is>
          <t>-</t>
        </is>
      </c>
      <c r="E73" s="6" t="inlineStr"/>
      <c r="F73" s="6" t="inlineStr"/>
      <c r="G73" s="6" t="inlineStr">
        <is>
          <t>Repairs for which volume discounts have been negotiated with government agencies, insurers, or service contract providers.</t>
        </is>
      </c>
      <c r="H73" s="6" t="inlineStr">
        <is>
          <t>§ 32:1262(A)(8)(i) (excluded from rate calculation only)</t>
        </is>
      </c>
      <c r="I73" s="6" t="inlineStr">
        <is>
          <t>La. Rev. Stat. § 32:1262(A)</t>
        </is>
      </c>
      <c r="J73" s="6" t="inlineStr">
        <is>
          <t>high</t>
        </is>
      </c>
      <c r="K73" s="6" t="inlineStr">
        <is>
          <t>official</t>
        </is>
      </c>
      <c r="L73" s="6" t="inlineStr">
        <is>
          <t>https://legis.la.gov/Legis/LawPrint.aspx?d=321503 (also § 32:1252 at https://legis.la.gov/Legis/Law.aspx?d=88035 and § 32:1261 at https://legis.la.gov/Legis/Law.aspx?d=88047)</t>
        </is>
      </c>
    </row>
    <row r="74">
      <c r="A74" s="6" t="inlineStr">
        <is>
          <t>MA</t>
        </is>
      </c>
      <c r="B74" s="6" t="inlineStr">
        <is>
          <t>Factory warranty</t>
        </is>
      </c>
      <c r="C74" s="6" t="inlineStr">
        <is>
          <t>Required</t>
        </is>
      </c>
      <c r="D74" s="6" t="inlineStr">
        <is>
          <t>Factory time (reasonable/adequate standard where stated)</t>
        </is>
      </c>
      <c r="E74" s="6" t="inlineStr"/>
      <c r="F74" s="6" t="inlineStr">
        <is>
          <t>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is>
      </c>
      <c r="G74" s="6" t="inlineStr">
        <is>
          <t>Time allowances for the diagnosis and performance of warranty work and service shall be reasonable and adequate for the work to be performed.</t>
        </is>
      </c>
      <c r="H74" s="6" t="inlineStr">
        <is>
          <t>§ 9(b)(3); scope § 9(b)(1)</t>
        </is>
      </c>
      <c r="I74" s="6" t="inlineStr">
        <is>
          <t>Mass. Gen. Laws ch. 93B, § 9(b)</t>
        </is>
      </c>
      <c r="J74" s="6" t="inlineStr">
        <is>
          <t>high</t>
        </is>
      </c>
      <c r="K74" s="6" t="inlineStr">
        <is>
          <t>official</t>
        </is>
      </c>
      <c r="L74" s="6" t="inlineStr">
        <is>
          <t>https://malegislature.gov/Laws/GeneralLaws/PartI/TitleXV/Chapter93B/Section9</t>
        </is>
      </c>
    </row>
    <row r="75">
      <c r="A75" s="6" t="inlineStr">
        <is>
          <t>MA</t>
        </is>
      </c>
      <c r="B75" s="6" t="inlineStr">
        <is>
          <t>Mfr-backed service contract</t>
        </is>
      </c>
      <c r="C75" s="6" t="inlineStr">
        <is>
          <t>Conditional</t>
        </is>
      </c>
      <c r="D75" s="6" t="inlineStr">
        <is>
          <t>Factory time (reasonable/adequate standard where stated)</t>
        </is>
      </c>
      <c r="E75" s="6" t="inlineStr"/>
      <c r="F75" s="6" t="inlineStr"/>
      <c r="G75" s="6" t="inlineStr">
        <is>
          <t>under the warranty or maintenance plan, extended warranty, certified preowned warranty or a service contract, issued by the manufacturer or distributor or its common entity, unless issued by a common entity that is not a manufacturer</t>
        </is>
      </c>
      <c r="H75" s="6" t="inlineStr">
        <is>
          <t>§ 9(b)(1)</t>
        </is>
      </c>
      <c r="I75" s="6" t="inlineStr">
        <is>
          <t>Mass. Gen. Laws ch. 93B, § 9(b)</t>
        </is>
      </c>
      <c r="J75" s="6" t="inlineStr">
        <is>
          <t>high</t>
        </is>
      </c>
      <c r="K75" s="6" t="inlineStr">
        <is>
          <t>official</t>
        </is>
      </c>
      <c r="L75" s="6" t="inlineStr">
        <is>
          <t>https://malegislature.gov/Laws/GeneralLaws/PartI/TitleXV/Chapter93B/Section9</t>
        </is>
      </c>
    </row>
    <row r="76">
      <c r="A76" s="6" t="inlineStr">
        <is>
          <t>MA</t>
        </is>
      </c>
      <c r="B76" s="6" t="inlineStr">
        <is>
          <t>CPO warranty</t>
        </is>
      </c>
      <c r="C76" s="6" t="inlineStr">
        <is>
          <t>Conditional</t>
        </is>
      </c>
      <c r="D76" s="6" t="inlineStr">
        <is>
          <t>Factory time (reasonable/adequate standard where stated)</t>
        </is>
      </c>
      <c r="E76" s="6" t="inlineStr"/>
      <c r="F76" s="6" t="inlineStr"/>
      <c r="G76" s="6" t="inlineStr">
        <is>
          <t>under the warranty or maintenance plan, extended warranty, certified preowned warranty or a service contract, issued by the manufacturer or distributor or its common entity, unless issued by a common entity that is not a manufacturer</t>
        </is>
      </c>
      <c r="H76" s="6" t="inlineStr">
        <is>
          <t>§ 9(b)(1)</t>
        </is>
      </c>
      <c r="I76" s="6" t="inlineStr">
        <is>
          <t>Mass. Gen. Laws ch. 93B, § 9(b)</t>
        </is>
      </c>
      <c r="J76" s="6" t="inlineStr">
        <is>
          <t>high</t>
        </is>
      </c>
      <c r="K76" s="6" t="inlineStr">
        <is>
          <t>official</t>
        </is>
      </c>
      <c r="L76" s="6" t="inlineStr">
        <is>
          <t>https://malegislature.gov/Laws/GeneralLaws/PartI/TitleXV/Chapter93B/Section9</t>
        </is>
      </c>
    </row>
    <row r="77">
      <c r="A77" s="6" t="inlineStr">
        <is>
          <t>MA</t>
        </is>
      </c>
      <c r="B77" s="6" t="inlineStr">
        <is>
          <t>Independent service contract</t>
        </is>
      </c>
      <c r="C77" s="6" t="inlineStr">
        <is>
          <t>Not reached</t>
        </is>
      </c>
      <c r="D77" s="6" t="inlineStr">
        <is>
          <t>-</t>
        </is>
      </c>
      <c r="E77" s="6" t="inlineStr"/>
      <c r="F77" s="6" t="inlineStr"/>
      <c r="G77" s="6" t="inlineStr">
        <is>
          <t>issued by the manufacturer or distributor or its common entity, unless issued by a common entity that is not a manufacturer</t>
        </is>
      </c>
      <c r="H77" s="6" t="inlineStr">
        <is>
          <t>§ 9(b)(1)</t>
        </is>
      </c>
      <c r="I77" s="6" t="inlineStr">
        <is>
          <t>Mass. Gen. Laws ch. 93B, § 9(b)</t>
        </is>
      </c>
      <c r="J77" s="6" t="inlineStr">
        <is>
          <t>high</t>
        </is>
      </c>
      <c r="K77" s="6" t="inlineStr">
        <is>
          <t>official</t>
        </is>
      </c>
      <c r="L77" s="6" t="inlineStr">
        <is>
          <t>https://malegislature.gov/Laws/GeneralLaws/PartI/TitleXV/Chapter93B/Section9</t>
        </is>
      </c>
    </row>
    <row r="78">
      <c r="A78" s="6" t="inlineStr">
        <is>
          <t>MD</t>
        </is>
      </c>
      <c r="B78" s="6" t="inlineStr">
        <is>
          <t>Factory warranty</t>
        </is>
      </c>
      <c r="C78" s="6" t="inlineStr">
        <is>
          <t>Required</t>
        </is>
      </c>
      <c r="D78" s="6" t="inlineStr">
        <is>
          <t>Factory time (reasonable/adequate standard where stated)</t>
        </is>
      </c>
      <c r="E78" s="6" t="inlineStr"/>
      <c r="F78" s="6" t="inlineStr">
        <is>
          <t>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is>
      </c>
      <c r="G78" s="6" t="inlineStr">
        <is>
          <t>A licensee shall specify in writing ... (iii) A time allowance for the performance of labor described in this paragraph that is reasonable and adequate.</t>
        </is>
      </c>
      <c r="H78" s="6" t="inlineStr">
        <is>
          <t>§ 15-212(c)(1)(iii); rate at (c)(2)(i)</t>
        </is>
      </c>
      <c r="I78" s="6" t="inlineStr">
        <is>
          <t>Md. Code, Transp. § 15-212(b)(3), (c)</t>
        </is>
      </c>
      <c r="J78" s="6" t="inlineStr">
        <is>
          <t>high</t>
        </is>
      </c>
      <c r="K78" s="6" t="inlineStr">
        <is>
          <t>official</t>
        </is>
      </c>
      <c r="L78" s="6" t="inlineStr">
        <is>
          <t>https://mgaleg.maryland.gov/mgawebsite/Laws/StatuteText?article=gtr&amp;section=15-212&amp;enactments=false</t>
        </is>
      </c>
    </row>
    <row r="79">
      <c r="A79" s="6" t="inlineStr">
        <is>
          <t>MD</t>
        </is>
      </c>
      <c r="B79" s="6" t="inlineStr">
        <is>
          <t>Mfr-backed service contract</t>
        </is>
      </c>
      <c r="C79" s="6" t="inlineStr">
        <is>
          <t>Not addressed</t>
        </is>
      </c>
      <c r="D79" s="6" t="inlineStr">
        <is>
          <t>-</t>
        </is>
      </c>
      <c r="E79" s="6" t="inlineStr"/>
      <c r="F79" s="6" t="inlineStr"/>
      <c r="G79" s="6" t="inlineStr">
        <is>
          <t>Failed to reasonably compensate any franchised dealer who does work under: ... (ii) Any outstanding express or implied new vehicle or truck component parts warranty.</t>
        </is>
      </c>
      <c r="H79" s="6" t="inlineStr">
        <is>
          <t>§ 15-212(b)(3)(ii)</t>
        </is>
      </c>
      <c r="I79" s="6" t="inlineStr">
        <is>
          <t>Md. Code, Transp. § 15-212(b)(3), (c)</t>
        </is>
      </c>
      <c r="J79" s="6" t="inlineStr">
        <is>
          <t>high</t>
        </is>
      </c>
      <c r="K79" s="6" t="inlineStr">
        <is>
          <t>official</t>
        </is>
      </c>
      <c r="L79" s="6" t="inlineStr">
        <is>
          <t>https://mgaleg.maryland.gov/mgawebsite/Laws/StatuteText?article=gtr&amp;section=15-212&amp;enactments=false</t>
        </is>
      </c>
    </row>
    <row r="80">
      <c r="A80" s="6" t="inlineStr">
        <is>
          <t>MD</t>
        </is>
      </c>
      <c r="B80" s="6" t="inlineStr">
        <is>
          <t>CPO warranty</t>
        </is>
      </c>
      <c r="C80" s="6" t="inlineStr">
        <is>
          <t>Not addressed</t>
        </is>
      </c>
      <c r="D80" s="6" t="inlineStr">
        <is>
          <t>-</t>
        </is>
      </c>
      <c r="E80" s="6" t="inlineStr"/>
      <c r="F80" s="6" t="inlineStr"/>
      <c r="G80" s="6" t="inlineStr">
        <is>
          <t>The dealer's obligation for vehicle preparation, delivery, warranties, and recalls on its products</t>
        </is>
      </c>
      <c r="H80" s="6" t="inlineStr">
        <is>
          <t>§ 15-212(c)(1)(i)</t>
        </is>
      </c>
      <c r="I80" s="6" t="inlineStr">
        <is>
          <t>Md. Code, Transp. § 15-212(b)(3), (c)</t>
        </is>
      </c>
      <c r="J80" s="6" t="inlineStr">
        <is>
          <t>high</t>
        </is>
      </c>
      <c r="K80" s="6" t="inlineStr">
        <is>
          <t>official</t>
        </is>
      </c>
      <c r="L80" s="6" t="inlineStr">
        <is>
          <t>https://mgaleg.maryland.gov/mgawebsite/Laws/StatuteText?article=gtr&amp;section=15-212&amp;enactments=false</t>
        </is>
      </c>
    </row>
    <row r="81">
      <c r="A81" s="6" t="inlineStr">
        <is>
          <t>MD</t>
        </is>
      </c>
      <c r="B81" s="6" t="inlineStr">
        <is>
          <t>Independent service contract</t>
        </is>
      </c>
      <c r="C81" s="6" t="inlineStr">
        <is>
          <t>Not addressed</t>
        </is>
      </c>
      <c r="D81" s="6" t="inlineStr">
        <is>
          <t>-</t>
        </is>
      </c>
      <c r="E81" s="6" t="inlineStr"/>
      <c r="F81" s="6" t="inlineStr"/>
      <c r="G81" s="6" t="inlineStr">
        <is>
          <t>Parts sold, or repairs performed, at wholesale or for insurance carriers, or other third–party payors</t>
        </is>
      </c>
      <c r="H81" s="6" t="inlineStr">
        <is>
          <t>§ 15-212(c)(4)(v) (excluded from qualifying ROs only)</t>
        </is>
      </c>
      <c r="I81" s="6" t="inlineStr">
        <is>
          <t>Md. Code, Transp. § 15-212(b)(3), (c)</t>
        </is>
      </c>
      <c r="J81" s="6" t="inlineStr">
        <is>
          <t>high</t>
        </is>
      </c>
      <c r="K81" s="6" t="inlineStr">
        <is>
          <t>official</t>
        </is>
      </c>
      <c r="L81" s="6" t="inlineStr">
        <is>
          <t>https://mgaleg.maryland.gov/mgawebsite/Laws/StatuteText?article=gtr&amp;section=15-212&amp;enactments=false</t>
        </is>
      </c>
    </row>
    <row r="82">
      <c r="A82" s="6" t="inlineStr">
        <is>
          <t>ME</t>
        </is>
      </c>
      <c r="B82" s="6" t="inlineStr">
        <is>
          <t>Factory warranty</t>
        </is>
      </c>
      <c r="C82" s="6" t="inlineStr">
        <is>
          <t>Required</t>
        </is>
      </c>
      <c r="D82" s="6" t="inlineStr">
        <is>
          <t>Statute silent on time / not established</t>
        </is>
      </c>
      <c r="E82" s="6" t="inlineStr"/>
      <c r="F82" s="6" t="inlineStr">
        <is>
          <t>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is>
      </c>
      <c r="G82" s="6" t="inlineStr">
        <is>
          <t>the franchisor shall reimburse the franchisee for any labor so performed at the retail rate customarily charged by that franchisee for the same labor when not performed in satisfaction of a warranty</t>
        </is>
      </c>
      <c r="H82" s="6" t="inlineStr">
        <is>
          <t>§ 1176, first paragraph</t>
        </is>
      </c>
      <c r="I82" s="6" t="inlineStr">
        <is>
          <t>Me. Rev. Stat. tit. 10, § 1176</t>
        </is>
      </c>
      <c r="J82" s="6" t="inlineStr">
        <is>
          <t>high</t>
        </is>
      </c>
      <c r="K82" s="6" t="inlineStr">
        <is>
          <t>official</t>
        </is>
      </c>
      <c r="L82" s="6" t="inlineStr">
        <is>
          <t>https://legislature.maine.gov/statutes/10/title10sec1176.html</t>
        </is>
      </c>
    </row>
    <row r="83">
      <c r="A83" s="6" t="inlineStr">
        <is>
          <t>ME</t>
        </is>
      </c>
      <c r="B83" s="6" t="inlineStr">
        <is>
          <t>Mfr-backed service contract</t>
        </is>
      </c>
      <c r="C83" s="6" t="inlineStr">
        <is>
          <t>Not addressed</t>
        </is>
      </c>
      <c r="D83" s="6" t="inlineStr">
        <is>
          <t>-</t>
        </is>
      </c>
      <c r="E83" s="6" t="inlineStr"/>
      <c r="F83" s="6" t="inlineStr"/>
      <c r="G83" s="6" t="inlineStr">
        <is>
          <t>If a motor vehicle franchisor requires or permits a motor vehicle franchisee to perform labor or provide parts in satisfaction of a warranty created by the franchisor</t>
        </is>
      </c>
      <c r="H83" s="6" t="inlineStr">
        <is>
          <t>§ 1176, first paragraph</t>
        </is>
      </c>
      <c r="I83" s="6" t="inlineStr">
        <is>
          <t>Me. Rev. Stat. tit. 10, § 1176</t>
        </is>
      </c>
      <c r="J83" s="6" t="inlineStr">
        <is>
          <t>high</t>
        </is>
      </c>
      <c r="K83" s="6" t="inlineStr">
        <is>
          <t>official</t>
        </is>
      </c>
      <c r="L83" s="6" t="inlineStr">
        <is>
          <t>https://legislature.maine.gov/statutes/10/title10sec1176.html</t>
        </is>
      </c>
    </row>
    <row r="84">
      <c r="A84" s="6" t="inlineStr">
        <is>
          <t>ME</t>
        </is>
      </c>
      <c r="B84" s="6" t="inlineStr">
        <is>
          <t>CPO warranty</t>
        </is>
      </c>
      <c r="C84" s="6" t="inlineStr">
        <is>
          <t>Not addressed</t>
        </is>
      </c>
      <c r="D84" s="6" t="inlineStr">
        <is>
          <t>-</t>
        </is>
      </c>
      <c r="E84" s="6" t="inlineStr"/>
      <c r="F84" s="6" t="inlineStr"/>
      <c r="G84" s="6" t="inlineStr">
        <is>
          <t>If a motor vehicle franchisor requires or permits a motor vehicle franchisee to perform labor or provide parts in satisfaction of a warranty created by the franchisor</t>
        </is>
      </c>
      <c r="H84" s="6" t="inlineStr">
        <is>
          <t>§ 1176, first paragraph</t>
        </is>
      </c>
      <c r="I84" s="6" t="inlineStr">
        <is>
          <t>Me. Rev. Stat. tit. 10, § 1176</t>
        </is>
      </c>
      <c r="J84" s="6" t="inlineStr">
        <is>
          <t>high</t>
        </is>
      </c>
      <c r="K84" s="6" t="inlineStr">
        <is>
          <t>official</t>
        </is>
      </c>
      <c r="L84" s="6" t="inlineStr">
        <is>
          <t>https://legislature.maine.gov/statutes/10/title10sec1176.html</t>
        </is>
      </c>
    </row>
    <row r="85">
      <c r="A85" s="6" t="inlineStr">
        <is>
          <t>ME</t>
        </is>
      </c>
      <c r="B85" s="6" t="inlineStr">
        <is>
          <t>Independent service contract</t>
        </is>
      </c>
      <c r="C85" s="6" t="inlineStr">
        <is>
          <t>Not addressed</t>
        </is>
      </c>
      <c r="D85" s="6" t="inlineStr">
        <is>
          <t>-</t>
        </is>
      </c>
      <c r="E85" s="6" t="inlineStr"/>
      <c r="F85" s="6" t="inlineStr"/>
      <c r="G85" s="6" t="inlineStr">
        <is>
          <t>If a motor vehicle franchisor requires or permits a motor vehicle franchisee to perform labor or provide parts in satisfaction of a warranty created by the franchisor</t>
        </is>
      </c>
      <c r="H85" s="6" t="inlineStr">
        <is>
          <t>§ 1176, first paragraph</t>
        </is>
      </c>
      <c r="I85" s="6" t="inlineStr">
        <is>
          <t>Me. Rev. Stat. tit. 10, § 1176</t>
        </is>
      </c>
      <c r="J85" s="6" t="inlineStr">
        <is>
          <t>high</t>
        </is>
      </c>
      <c r="K85" s="6" t="inlineStr">
        <is>
          <t>official</t>
        </is>
      </c>
      <c r="L85" s="6" t="inlineStr">
        <is>
          <t>https://legislature.maine.gov/statutes/10/title10sec1176.html</t>
        </is>
      </c>
    </row>
    <row r="86">
      <c r="A86" s="6" t="inlineStr">
        <is>
          <t>MI</t>
        </is>
      </c>
      <c r="B86" s="6" t="inlineStr">
        <is>
          <t>Factory warranty</t>
        </is>
      </c>
      <c r="C86" s="6" t="inlineStr">
        <is>
          <t>Required</t>
        </is>
      </c>
      <c r="D86" s="6" t="inlineStr">
        <is>
          <t>Factory time (reasonable/adequate standard where stated)</t>
        </is>
      </c>
      <c r="E86" s="6" t="inlineStr"/>
      <c r="F86" s="6" t="inlineStr">
        <is>
          <t>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is>
      </c>
      <c r="G86" s="6" t="inlineStr">
        <is>
          <t>A manufacturer shall also include in the schedule of compensation a reasonable time allowance for labor for diagnostic work and repair work, included in the manufacturer's labor time allowance or listed as a separate compensable item.</t>
        </is>
      </c>
      <c r="H86" s="6" t="inlineStr">
        <is>
          <t>§ 445.1577(1)</t>
        </is>
      </c>
      <c r="I86" s="6" t="inlineStr">
        <is>
          <t>Mich. Comp. Laws §§ 445.1577 (Sec. 17) and 445.1577a (Sec. 17a)</t>
        </is>
      </c>
      <c r="J86" s="6" t="inlineStr">
        <is>
          <t>high</t>
        </is>
      </c>
      <c r="K86" s="6" t="inlineStr">
        <is>
          <t>official</t>
        </is>
      </c>
      <c r="L86" s="6" t="inlineStr">
        <is>
          <t>https://www.legislature.mi.gov/Laws/MCL?objectName=mcl-445-1577 (and ?objectName=mcl-445-1577a)</t>
        </is>
      </c>
    </row>
    <row r="87">
      <c r="A87" s="6" t="inlineStr">
        <is>
          <t>MI</t>
        </is>
      </c>
      <c r="B87" s="6" t="inlineStr">
        <is>
          <t>Mfr-backed service contract</t>
        </is>
      </c>
      <c r="C87" s="6" t="inlineStr">
        <is>
          <t>Not addressed</t>
        </is>
      </c>
      <c r="D87" s="6" t="inlineStr">
        <is>
          <t>-</t>
        </is>
      </c>
      <c r="E87" s="6" t="inlineStr"/>
      <c r="F87" s="6" t="inlineStr"/>
      <c r="G87" s="6" t="inlineStr">
        <is>
          <t>A manufacturer shall compensate a new motor vehicle dealer for recall or warranty service required of the dealer by the manufacturer.</t>
        </is>
      </c>
      <c r="H87" s="6" t="inlineStr">
        <is>
          <t>§ 445.1577(1)</t>
        </is>
      </c>
      <c r="I87" s="6" t="inlineStr">
        <is>
          <t>Mich. Comp. Laws §§ 445.1577 (Sec. 17) and 445.1577a (Sec. 17a)</t>
        </is>
      </c>
      <c r="J87" s="6" t="inlineStr">
        <is>
          <t>high</t>
        </is>
      </c>
      <c r="K87" s="6" t="inlineStr">
        <is>
          <t>official</t>
        </is>
      </c>
      <c r="L87" s="6" t="inlineStr">
        <is>
          <t>https://www.legislature.mi.gov/Laws/MCL?objectName=mcl-445-1577 (and ?objectName=mcl-445-1577a)</t>
        </is>
      </c>
    </row>
    <row r="88">
      <c r="A88" s="6" t="inlineStr">
        <is>
          <t>MI</t>
        </is>
      </c>
      <c r="B88" s="6" t="inlineStr">
        <is>
          <t>CPO warranty</t>
        </is>
      </c>
      <c r="C88" s="6" t="inlineStr">
        <is>
          <t>Not addressed</t>
        </is>
      </c>
      <c r="D88" s="6" t="inlineStr">
        <is>
          <t>-</t>
        </is>
      </c>
      <c r="E88" s="6" t="inlineStr"/>
      <c r="F88" s="6" t="inlineStr"/>
      <c r="G88" s="6" t="inlineStr">
        <is>
          <t>A manufacturer shall compensate a new motor vehicle dealer for recall or warranty service required of the dealer by the manufacturer.</t>
        </is>
      </c>
      <c r="H88" s="6" t="inlineStr">
        <is>
          <t>§ 445.1577(1)</t>
        </is>
      </c>
      <c r="I88" s="6" t="inlineStr">
        <is>
          <t>Mich. Comp. Laws §§ 445.1577 (Sec. 17) and 445.1577a (Sec. 17a)</t>
        </is>
      </c>
      <c r="J88" s="6" t="inlineStr">
        <is>
          <t>high</t>
        </is>
      </c>
      <c r="K88" s="6" t="inlineStr">
        <is>
          <t>official</t>
        </is>
      </c>
      <c r="L88" s="6" t="inlineStr">
        <is>
          <t>https://www.legislature.mi.gov/Laws/MCL?objectName=mcl-445-1577 (and ?objectName=mcl-445-1577a)</t>
        </is>
      </c>
    </row>
    <row r="89">
      <c r="A89" s="6" t="inlineStr">
        <is>
          <t>MI</t>
        </is>
      </c>
      <c r="B89" s="6" t="inlineStr">
        <is>
          <t>Independent service contract</t>
        </is>
      </c>
      <c r="C89" s="6" t="inlineStr">
        <is>
          <t>Not addressed</t>
        </is>
      </c>
      <c r="D89" s="6" t="inlineStr">
        <is>
          <t>-</t>
        </is>
      </c>
      <c r="E89" s="6" t="inlineStr"/>
      <c r="F89" s="6" t="inlineStr"/>
      <c r="G89" s="6" t="inlineStr">
        <is>
          <t>A manufacturer shall compensate a new motor vehicle dealer for recall or warranty service required of the dealer by the manufacturer.</t>
        </is>
      </c>
      <c r="H89" s="6" t="inlineStr">
        <is>
          <t>§ 445.1577(1)</t>
        </is>
      </c>
      <c r="I89" s="6" t="inlineStr">
        <is>
          <t>Mich. Comp. Laws §§ 445.1577 (Sec. 17) and 445.1577a (Sec. 17a)</t>
        </is>
      </c>
      <c r="J89" s="6" t="inlineStr">
        <is>
          <t>high</t>
        </is>
      </c>
      <c r="K89" s="6" t="inlineStr">
        <is>
          <t>official</t>
        </is>
      </c>
      <c r="L89" s="6" t="inlineStr">
        <is>
          <t>https://www.legislature.mi.gov/Laws/MCL?objectName=mcl-445-1577 (and ?objectName=mcl-445-1577a)</t>
        </is>
      </c>
    </row>
    <row r="90">
      <c r="A90" s="6" t="inlineStr">
        <is>
          <t>MN</t>
        </is>
      </c>
      <c r="B90" s="6" t="inlineStr">
        <is>
          <t>Factory warranty</t>
        </is>
      </c>
      <c r="C90" s="6" t="inlineStr">
        <is>
          <t>Required</t>
        </is>
      </c>
      <c r="D90" s="6" t="inlineStr">
        <is>
          <t>Independent/retail time guide</t>
        </is>
      </c>
      <c r="E90" s="6" t="inlineStr"/>
      <c r="F90" s="6" t="inlineStr">
        <is>
          <t>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is>
      </c>
      <c r="G90" s="6" t="inlineStr">
        <is>
          <t>Compensation for warranty labor must equal the dealer's effective nonwarranty labor rate multiplied by the time guide used by the dealer for nonwarranty customer-paid service repair orders.</t>
        </is>
      </c>
      <c r="H90" s="6" t="inlineStr">
        <is>
          <t>subd. 4(a)</t>
        </is>
      </c>
      <c r="I90" s="6" t="inlineStr">
        <is>
          <t>Minn. Stat. § 80E.041 (formerly § 80E.04, repealed 2018)</t>
        </is>
      </c>
      <c r="J90" s="6" t="inlineStr">
        <is>
          <t>high</t>
        </is>
      </c>
      <c r="K90" s="6" t="inlineStr">
        <is>
          <t>official</t>
        </is>
      </c>
      <c r="L90" s="6" t="inlineStr">
        <is>
          <t>https://www.revisor.mn.gov/statutes/cite/80E.041</t>
        </is>
      </c>
    </row>
    <row r="91">
      <c r="A91" s="6" t="inlineStr">
        <is>
          <t>MN</t>
        </is>
      </c>
      <c r="B91" s="6" t="inlineStr">
        <is>
          <t>Mfr-backed service contract</t>
        </is>
      </c>
      <c r="C91" s="6" t="inlineStr">
        <is>
          <t>Not addressed</t>
        </is>
      </c>
      <c r="D91" s="6" t="inlineStr">
        <is>
          <t>-</t>
        </is>
      </c>
      <c r="E91" s="6" t="inlineStr"/>
      <c r="F91" s="6" t="inlineStr"/>
      <c r="G91" s="6" t="inlineStr">
        <is>
          <t>This section applies to all warranty repair service performed by the dealer for the manufacturer or with the approval of the manufacturer and for which the dealer is entitled to compensation or reimbursement from the manufacturer.</t>
        </is>
      </c>
      <c r="H91" s="6" t="inlineStr">
        <is>
          <t>subd. 1</t>
        </is>
      </c>
      <c r="I91" s="6" t="inlineStr">
        <is>
          <t>Minn. Stat. § 80E.041 (formerly § 80E.04, repealed 2018)</t>
        </is>
      </c>
      <c r="J91" s="6" t="inlineStr">
        <is>
          <t>high</t>
        </is>
      </c>
      <c r="K91" s="6" t="inlineStr">
        <is>
          <t>official</t>
        </is>
      </c>
      <c r="L91" s="6" t="inlineStr">
        <is>
          <t>https://www.revisor.mn.gov/statutes/cite/80E.041</t>
        </is>
      </c>
    </row>
    <row r="92">
      <c r="A92" s="6" t="inlineStr">
        <is>
          <t>MN</t>
        </is>
      </c>
      <c r="B92" s="6" t="inlineStr">
        <is>
          <t>CPO warranty</t>
        </is>
      </c>
      <c r="C92" s="6" t="inlineStr">
        <is>
          <t>Not addressed</t>
        </is>
      </c>
      <c r="D92" s="6" t="inlineStr">
        <is>
          <t>-</t>
        </is>
      </c>
      <c r="E92" s="6" t="inlineStr"/>
      <c r="F92" s="6" t="inlineStr"/>
      <c r="G92" s="6" t="inlineStr">
        <is>
          <t>This section applies to all warranty repair service performed by the dealer for the manufacturer or with the approval of the manufacturer and for which the dealer is entitled to compensation or reimbursement from the manufacturer.</t>
        </is>
      </c>
      <c r="H92" s="6" t="inlineStr">
        <is>
          <t>subd. 1</t>
        </is>
      </c>
      <c r="I92" s="6" t="inlineStr">
        <is>
          <t>Minn. Stat. § 80E.041 (formerly § 80E.04, repealed 2018)</t>
        </is>
      </c>
      <c r="J92" s="6" t="inlineStr">
        <is>
          <t>high</t>
        </is>
      </c>
      <c r="K92" s="6" t="inlineStr">
        <is>
          <t>official</t>
        </is>
      </c>
      <c r="L92" s="6" t="inlineStr">
        <is>
          <t>https://www.revisor.mn.gov/statutes/cite/80E.041</t>
        </is>
      </c>
    </row>
    <row r="93">
      <c r="A93" s="6" t="inlineStr">
        <is>
          <t>MN</t>
        </is>
      </c>
      <c r="B93" s="6" t="inlineStr">
        <is>
          <t>Independent service contract</t>
        </is>
      </c>
      <c r="C93" s="6" t="inlineStr">
        <is>
          <t>Not addressed</t>
        </is>
      </c>
      <c r="D93" s="6" t="inlineStr">
        <is>
          <t>-</t>
        </is>
      </c>
      <c r="E93" s="6" t="inlineStr"/>
      <c r="F93" s="6" t="inlineStr"/>
      <c r="G93" s="6" t="inlineStr">
        <is>
          <t>This section applies to all warranty repair service performed by the dealer for the manufacturer or with the approval of the manufacturer and for which the dealer is entitled to compensation or reimbursement from the manufacturer.</t>
        </is>
      </c>
      <c r="H93" s="6" t="inlineStr">
        <is>
          <t>subd. 1</t>
        </is>
      </c>
      <c r="I93" s="6" t="inlineStr">
        <is>
          <t>Minn. Stat. § 80E.041 (formerly § 80E.04, repealed 2018)</t>
        </is>
      </c>
      <c r="J93" s="6" t="inlineStr">
        <is>
          <t>high</t>
        </is>
      </c>
      <c r="K93" s="6" t="inlineStr">
        <is>
          <t>official</t>
        </is>
      </c>
      <c r="L93" s="6" t="inlineStr">
        <is>
          <t>https://www.revisor.mn.gov/statutes/cite/80E.041</t>
        </is>
      </c>
    </row>
    <row r="94">
      <c r="A94" s="6" t="inlineStr">
        <is>
          <t>MO</t>
        </is>
      </c>
      <c r="B94" s="6" t="inlineStr">
        <is>
          <t>Factory warranty</t>
        </is>
      </c>
      <c r="C94" s="6" t="inlineStr">
        <is>
          <t>Required</t>
        </is>
      </c>
      <c r="D94" s="6" t="inlineStr">
        <is>
          <t>Factory time (reasonable/adequate standard where stated)</t>
        </is>
      </c>
      <c r="E94" s="6" t="inlineStr"/>
      <c r="F94" s="6" t="inlineStr">
        <is>
          <t>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is>
      </c>
      <c r="G94" s="6" t="inlineStr">
        <is>
          <t>The schedule shall also include reasonable and adequate time allowances for the diagnosis and performance of preparation, delivery, and warranty service to be performed in a careful and professional manner.</t>
        </is>
      </c>
      <c r="H94" s="6" t="inlineStr">
        <is>
          <t>§ 407.828.2</t>
        </is>
      </c>
      <c r="I94" s="6" t="inlineStr">
        <is>
          <t>Mo. Rev. Stat. § 407.828</t>
        </is>
      </c>
      <c r="J94" s="6" t="inlineStr">
        <is>
          <t>high</t>
        </is>
      </c>
      <c r="K94" s="6" t="inlineStr">
        <is>
          <t>official</t>
        </is>
      </c>
      <c r="L94" s="6" t="inlineStr">
        <is>
          <t>https://revisor.mo.gov/main/OneSection.aspx?section=407.828</t>
        </is>
      </c>
    </row>
    <row r="95">
      <c r="A95" s="6" t="inlineStr">
        <is>
          <t>MO</t>
        </is>
      </c>
      <c r="B95" s="6" t="inlineStr">
        <is>
          <t>Mfr-backed service contract</t>
        </is>
      </c>
      <c r="C95" s="6" t="inlineStr">
        <is>
          <t>Not addressed</t>
        </is>
      </c>
      <c r="D95" s="6" t="inlineStr">
        <is>
          <t>-</t>
        </is>
      </c>
      <c r="E95" s="6" t="inlineStr"/>
      <c r="F95" s="6" t="inlineStr"/>
      <c r="G95" s="6" t="inlineStr">
        <is>
          <t>The franchisor shall fairly and reasonably compensate the franchisee for preparation, delivery, and warranty service required of the franchisee by the franchisor.</t>
        </is>
      </c>
      <c r="H95" s="6" t="inlineStr">
        <is>
          <t>§ 407.828.1</t>
        </is>
      </c>
      <c r="I95" s="6" t="inlineStr">
        <is>
          <t>Mo. Rev. Stat. § 407.828</t>
        </is>
      </c>
      <c r="J95" s="6" t="inlineStr">
        <is>
          <t>high</t>
        </is>
      </c>
      <c r="K95" s="6" t="inlineStr">
        <is>
          <t>official</t>
        </is>
      </c>
      <c r="L95" s="6" t="inlineStr">
        <is>
          <t>https://revisor.mo.gov/main/OneSection.aspx?section=407.828</t>
        </is>
      </c>
    </row>
    <row r="96">
      <c r="A96" s="6" t="inlineStr">
        <is>
          <t>MO</t>
        </is>
      </c>
      <c r="B96" s="6" t="inlineStr">
        <is>
          <t>CPO warranty</t>
        </is>
      </c>
      <c r="C96" s="6" t="inlineStr">
        <is>
          <t>Not addressed</t>
        </is>
      </c>
      <c r="D96" s="6" t="inlineStr">
        <is>
          <t>-</t>
        </is>
      </c>
      <c r="E96" s="6" t="inlineStr"/>
      <c r="F96" s="6" t="inlineStr"/>
      <c r="G96" s="6" t="inlineStr">
        <is>
          <t>The franchisor shall fairly and reasonably compensate the franchisee for preparation, delivery, and warranty service required of the franchisee by the franchisor.</t>
        </is>
      </c>
      <c r="H96" s="6" t="inlineStr">
        <is>
          <t>§ 407.828.1</t>
        </is>
      </c>
      <c r="I96" s="6" t="inlineStr">
        <is>
          <t>Mo. Rev. Stat. § 407.828</t>
        </is>
      </c>
      <c r="J96" s="6" t="inlineStr">
        <is>
          <t>high</t>
        </is>
      </c>
      <c r="K96" s="6" t="inlineStr">
        <is>
          <t>official</t>
        </is>
      </c>
      <c r="L96" s="6" t="inlineStr">
        <is>
          <t>https://revisor.mo.gov/main/OneSection.aspx?section=407.828</t>
        </is>
      </c>
    </row>
    <row r="97">
      <c r="A97" s="6" t="inlineStr">
        <is>
          <t>MO</t>
        </is>
      </c>
      <c r="B97" s="6" t="inlineStr">
        <is>
          <t>Independent service contract</t>
        </is>
      </c>
      <c r="C97" s="6" t="inlineStr">
        <is>
          <t>Not addressed</t>
        </is>
      </c>
      <c r="D97" s="6" t="inlineStr">
        <is>
          <t>-</t>
        </is>
      </c>
      <c r="E97" s="6" t="inlineStr"/>
      <c r="F97" s="6" t="inlineStr"/>
      <c r="G97" s="6" t="inlineStr">
        <is>
          <t>The franchisor shall fairly and reasonably compensate the franchisee for preparation, delivery, and warranty service required of the franchisee by the franchisor.</t>
        </is>
      </c>
      <c r="H97" s="6" t="inlineStr">
        <is>
          <t>§ 407.828.1</t>
        </is>
      </c>
      <c r="I97" s="6" t="inlineStr">
        <is>
          <t>Mo. Rev. Stat. § 407.828</t>
        </is>
      </c>
      <c r="J97" s="6" t="inlineStr">
        <is>
          <t>high</t>
        </is>
      </c>
      <c r="K97" s="6" t="inlineStr">
        <is>
          <t>official</t>
        </is>
      </c>
      <c r="L97" s="6" t="inlineStr">
        <is>
          <t>https://revisor.mo.gov/main/OneSection.aspx?section=407.828</t>
        </is>
      </c>
    </row>
    <row r="98">
      <c r="A98" s="6" t="inlineStr">
        <is>
          <t>MS</t>
        </is>
      </c>
      <c r="B98" s="6" t="inlineStr">
        <is>
          <t>Factory warranty</t>
        </is>
      </c>
      <c r="C98" s="6" t="inlineStr">
        <is>
          <t>Required</t>
        </is>
      </c>
      <c r="D98" s="6" t="inlineStr">
        <is>
          <t>Factory time (reasonable/adequate standard where stated)</t>
        </is>
      </c>
      <c r="E98" s="6" t="inlineStr"/>
      <c r="F98" s="6" t="inlineStr">
        <is>
          <t>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is>
      </c>
      <c r="G98" s="6" t="inlineStr">
        <is>
          <t>Time allowances for the diagnosis and performance of warranty work shall be reasonable and adequate for such work to be performed using the actual time required by a qualified technician of ordinary skill to perform such work.</t>
        </is>
      </c>
      <c r="H98" s="6" t="inlineStr">
        <is>
          <t>§ 63-17-85(j)</t>
        </is>
      </c>
      <c r="I98" s="6" t="inlineStr">
        <is>
          <t>Miss. Code Ann. §§ 63-17-85(j) and 63-17-86</t>
        </is>
      </c>
      <c r="J98" s="6" t="inlineStr">
        <is>
          <t>high</t>
        </is>
      </c>
      <c r="K98" s="6" t="inlineStr">
        <is>
          <t>enrolled_act</t>
        </is>
      </c>
      <c r="L98"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99">
      <c r="A99" s="6" t="inlineStr">
        <is>
          <t>MS</t>
        </is>
      </c>
      <c r="B99" s="6" t="inlineStr">
        <is>
          <t>Mfr-backed service contract</t>
        </is>
      </c>
      <c r="C99" s="6" t="inlineStr">
        <is>
          <t>Not addressed</t>
        </is>
      </c>
      <c r="D99" s="6" t="inlineStr">
        <is>
          <t>-</t>
        </is>
      </c>
      <c r="E99" s="6" t="inlineStr"/>
      <c r="F99" s="6" t="inlineStr"/>
      <c r="G99" s="6" t="inlineStr">
        <is>
          <t>in fulfilling a manufacturer's obligations under a new motor vehicle warranty, a recall, or a certified pre-owned warranty, to consumers</t>
        </is>
      </c>
      <c r="H99" s="6" t="inlineStr">
        <is>
          <t>§ 63-17-55(ee)</t>
        </is>
      </c>
      <c r="I99" s="6" t="inlineStr">
        <is>
          <t>Miss. Code Ann. §§ 63-17-85(j) and 63-17-86</t>
        </is>
      </c>
      <c r="J99" s="6" t="inlineStr">
        <is>
          <t>high</t>
        </is>
      </c>
      <c r="K99" s="6" t="inlineStr">
        <is>
          <t>enrolled_act</t>
        </is>
      </c>
      <c r="L99"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0">
      <c r="A100" s="6" t="inlineStr">
        <is>
          <t>MS</t>
        </is>
      </c>
      <c r="B100" s="6" t="inlineStr">
        <is>
          <t>CPO warranty</t>
        </is>
      </c>
      <c r="C100" s="6" t="inlineStr">
        <is>
          <t>Conditional</t>
        </is>
      </c>
      <c r="D100" s="6" t="inlineStr">
        <is>
          <t>Factory time (reasonable/adequate standard where stated)</t>
        </is>
      </c>
      <c r="E100" s="6" t="inlineStr"/>
      <c r="F100" s="6" t="inlineStr"/>
      <c r="G100" s="6" t="inlineStr">
        <is>
          <t>in fulfilling a manufacturer's obligations under a new motor vehicle warranty, a recall, or a certified pre-owned warranty, to consumers</t>
        </is>
      </c>
      <c r="H100" s="6" t="inlineStr">
        <is>
          <t>§ 63-17-55(ee)</t>
        </is>
      </c>
      <c r="I100" s="6" t="inlineStr">
        <is>
          <t>Miss. Code Ann. §§ 63-17-85(j) and 63-17-86</t>
        </is>
      </c>
      <c r="J100" s="6" t="inlineStr">
        <is>
          <t>high</t>
        </is>
      </c>
      <c r="K100" s="6" t="inlineStr">
        <is>
          <t>enrolled_act</t>
        </is>
      </c>
      <c r="L100"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1">
      <c r="A101" s="6" t="inlineStr">
        <is>
          <t>MS</t>
        </is>
      </c>
      <c r="B101" s="6" t="inlineStr">
        <is>
          <t>Independent service contract</t>
        </is>
      </c>
      <c r="C101" s="6" t="inlineStr">
        <is>
          <t>Not addressed</t>
        </is>
      </c>
      <c r="D101" s="6" t="inlineStr">
        <is>
          <t>-</t>
        </is>
      </c>
      <c r="E101" s="6" t="inlineStr"/>
      <c r="F101" s="6" t="inlineStr"/>
      <c r="G101" s="6" t="inlineStr">
        <is>
          <t>in fulfilling a manufacturer's obligations under a new motor vehicle warranty, a recall, or a certified pre-owned warranty, to consumers</t>
        </is>
      </c>
      <c r="H101" s="6" t="inlineStr">
        <is>
          <t>§ 63-17-55(ee)</t>
        </is>
      </c>
      <c r="I101" s="6" t="inlineStr">
        <is>
          <t>Miss. Code Ann. §§ 63-17-85(j) and 63-17-86</t>
        </is>
      </c>
      <c r="J101" s="6" t="inlineStr">
        <is>
          <t>high</t>
        </is>
      </c>
      <c r="K101" s="6" t="inlineStr">
        <is>
          <t>enrolled_act</t>
        </is>
      </c>
      <c r="L101" s="6" t="inlineStr">
        <is>
          <t>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is>
      </c>
    </row>
    <row r="102">
      <c r="A102" s="6" t="inlineStr">
        <is>
          <t>MT</t>
        </is>
      </c>
      <c r="B102" s="6" t="inlineStr">
        <is>
          <t>Factory warranty</t>
        </is>
      </c>
      <c r="C102" s="6" t="inlineStr">
        <is>
          <t>Required</t>
        </is>
      </c>
      <c r="D102" s="6" t="inlineStr">
        <is>
          <t>Independent/retail time guide</t>
        </is>
      </c>
      <c r="E102" s="6" t="inlineStr"/>
      <c r="F102" s="6" t="inlineStr">
        <is>
          <t>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is>
      </c>
      <c r="G102" s="6" t="inlineStr">
        <is>
          <t>using the franchisor's labor time guide or the labor time guide used by the dealer for labor furnished other than pursuant to warranty, at the dealer's election</t>
        </is>
      </c>
      <c r="H102" s="6" t="inlineStr">
        <is>
          <t>§ 61-4-213(1)(a)(i)</t>
        </is>
      </c>
      <c r="I102" s="6" t="inlineStr">
        <is>
          <t>Mont. Code Ann. § 61-4-213</t>
        </is>
      </c>
      <c r="J102" s="6" t="inlineStr">
        <is>
          <t>high</t>
        </is>
      </c>
      <c r="K102" s="6" t="inlineStr">
        <is>
          <t>official</t>
        </is>
      </c>
      <c r="L102" s="6" t="inlineStr">
        <is>
          <t>https://mca.legmt.gov/bills/mca/title_0610/chapter_0040/part_0020/section_0130/0610-0040-0020-0130.html</t>
        </is>
      </c>
    </row>
    <row r="103">
      <c r="A103" s="6" t="inlineStr">
        <is>
          <t>MT</t>
        </is>
      </c>
      <c r="B103" s="6" t="inlineStr">
        <is>
          <t>Mfr-backed service contract</t>
        </is>
      </c>
      <c r="C103" s="6" t="inlineStr">
        <is>
          <t>Not addressed</t>
        </is>
      </c>
      <c r="D103" s="6" t="inlineStr">
        <is>
          <t>-</t>
        </is>
      </c>
      <c r="E103" s="6" t="inlineStr"/>
      <c r="F103" s="6" t="inlineStr"/>
      <c r="G103" s="6" t="inlineStr">
        <is>
          <t>"Warranty" means, in addition to a new motor vehicle warranty, predelivery preparation, a recall, or a certified preowned warranty, in each case issued or administered by a motor vehicle franchisor.</t>
        </is>
      </c>
      <c r="H103" s="6" t="inlineStr">
        <is>
          <t>§ 61-4-213(13)(f)</t>
        </is>
      </c>
      <c r="I103" s="6" t="inlineStr">
        <is>
          <t>Mont. Code Ann. § 61-4-213</t>
        </is>
      </c>
      <c r="J103" s="6" t="inlineStr">
        <is>
          <t>high</t>
        </is>
      </c>
      <c r="K103" s="6" t="inlineStr">
        <is>
          <t>official</t>
        </is>
      </c>
      <c r="L103" s="6" t="inlineStr">
        <is>
          <t>https://mca.legmt.gov/bills/mca/title_0610/chapter_0040/part_0020/section_0130/0610-0040-0020-0130.html</t>
        </is>
      </c>
    </row>
    <row r="104">
      <c r="A104" s="6" t="inlineStr">
        <is>
          <t>MT</t>
        </is>
      </c>
      <c r="B104" s="6" t="inlineStr">
        <is>
          <t>CPO warranty</t>
        </is>
      </c>
      <c r="C104" s="6" t="inlineStr">
        <is>
          <t>Required</t>
        </is>
      </c>
      <c r="D104" s="6" t="inlineStr">
        <is>
          <t>Independent/retail time guide</t>
        </is>
      </c>
      <c r="E104" s="6" t="inlineStr"/>
      <c r="F104" s="6" t="inlineStr"/>
      <c r="G104" s="6" t="inlineStr">
        <is>
          <t>"Warranty" means, in addition to a new motor vehicle warranty, predelivery preparation, a recall, or a certified preowned warranty, in each case issued or administered by a motor vehicle franchisor.</t>
        </is>
      </c>
      <c r="H104" s="6" t="inlineStr">
        <is>
          <t>§ 61-4-213(13)(f)</t>
        </is>
      </c>
      <c r="I104" s="6" t="inlineStr">
        <is>
          <t>Mont. Code Ann. § 61-4-213</t>
        </is>
      </c>
      <c r="J104" s="6" t="inlineStr">
        <is>
          <t>high</t>
        </is>
      </c>
      <c r="K104" s="6" t="inlineStr">
        <is>
          <t>official</t>
        </is>
      </c>
      <c r="L104" s="6" t="inlineStr">
        <is>
          <t>https://mca.legmt.gov/bills/mca/title_0610/chapter_0040/part_0020/section_0130/0610-0040-0020-0130.html</t>
        </is>
      </c>
    </row>
    <row r="105">
      <c r="A105" s="6" t="inlineStr">
        <is>
          <t>MT</t>
        </is>
      </c>
      <c r="B105" s="6" t="inlineStr">
        <is>
          <t>Independent service contract</t>
        </is>
      </c>
      <c r="C105" s="6" t="inlineStr">
        <is>
          <t>Not addressed</t>
        </is>
      </c>
      <c r="D105" s="6" t="inlineStr">
        <is>
          <t>-</t>
        </is>
      </c>
      <c r="E105" s="6" t="inlineStr"/>
      <c r="F105" s="6" t="inlineStr"/>
      <c r="G105" s="6" t="inlineStr">
        <is>
          <t>"Warranty" means, in addition to a new motor vehicle warranty, predelivery preparation, a recall, or a certified preowned warranty, in each case issued or administered by a motor vehicle franchisor.</t>
        </is>
      </c>
      <c r="H105" s="6" t="inlineStr">
        <is>
          <t>§ 61-4-213(13)(f)</t>
        </is>
      </c>
      <c r="I105" s="6" t="inlineStr">
        <is>
          <t>Mont. Code Ann. § 61-4-213</t>
        </is>
      </c>
      <c r="J105" s="6" t="inlineStr">
        <is>
          <t>high</t>
        </is>
      </c>
      <c r="K105" s="6" t="inlineStr">
        <is>
          <t>official</t>
        </is>
      </c>
      <c r="L105" s="6" t="inlineStr">
        <is>
          <t>https://mca.legmt.gov/bills/mca/title_0610/chapter_0040/part_0020/section_0130/0610-0040-0020-0130.html</t>
        </is>
      </c>
    </row>
    <row r="106">
      <c r="A106" s="6" t="inlineStr">
        <is>
          <t>NC</t>
        </is>
      </c>
      <c r="B106" s="6" t="inlineStr">
        <is>
          <t>Factory warranty</t>
        </is>
      </c>
      <c r="C106" s="6" t="inlineStr">
        <is>
          <t>Required</t>
        </is>
      </c>
      <c r="D106" s="6" t="inlineStr">
        <is>
          <t>Factory time (reasonable/adequate standard where stated)</t>
        </is>
      </c>
      <c r="E106" s="6" t="inlineStr"/>
      <c r="F106" s="6" t="inlineStr">
        <is>
          <t>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is>
      </c>
      <c r="G106" s="6" t="inlineStr">
        <is>
          <t>The disclosure required under this subsection shall include the schedule of compensation to be paid the dealers for parts, work, and service ... and the time allowances for the performance of the work and service.</t>
        </is>
      </c>
      <c r="H106" s="6" t="inlineStr">
        <is>
          <t>§ 20-305.1(a); see (a5)</t>
        </is>
      </c>
      <c r="I106" s="6" t="inlineStr">
        <is>
          <t>N.C. Gen. Stat. § 20-305.1</t>
        </is>
      </c>
      <c r="J106" s="6" t="inlineStr">
        <is>
          <t>high</t>
        </is>
      </c>
      <c r="K106" s="6" t="inlineStr">
        <is>
          <t>official</t>
        </is>
      </c>
      <c r="L106" s="6" t="inlineStr">
        <is>
          <t>https://www.ncleg.gov/EnactedLegislation/Statutes/HTML/BySection/Chapter_20/GS_20-305.1.html</t>
        </is>
      </c>
    </row>
    <row r="107">
      <c r="A107" s="6" t="inlineStr">
        <is>
          <t>NC</t>
        </is>
      </c>
      <c r="B107" s="6" t="inlineStr">
        <is>
          <t>Mfr-backed service contract</t>
        </is>
      </c>
      <c r="C107" s="6" t="inlineStr">
        <is>
          <t>Conditional</t>
        </is>
      </c>
      <c r="D107" s="6" t="inlineStr">
        <is>
          <t>Statute silent on time / not established</t>
        </is>
      </c>
      <c r="E107" s="6" t="inlineStr"/>
      <c r="F107" s="6" t="inlineStr"/>
      <c r="G107" s="6" t="inlineStr">
        <is>
          <t>the dealer's obligations for preparation, delivery, pre-sale maintenance, manufacturer-directed component installation or assembly, warranty, manufacturer-sponsored maintenance programs, manufacturer extended warranty, parts exchange programs, and recall service on its products.</t>
        </is>
      </c>
      <c r="H107" s="6" t="inlineStr">
        <is>
          <t>§ 20-305.1(a)</t>
        </is>
      </c>
      <c r="I107" s="6" t="inlineStr">
        <is>
          <t>N.C. Gen. Stat. § 20-305.1</t>
        </is>
      </c>
      <c r="J107" s="6" t="inlineStr">
        <is>
          <t>high</t>
        </is>
      </c>
      <c r="K107" s="6" t="inlineStr">
        <is>
          <t>official</t>
        </is>
      </c>
      <c r="L107" s="6" t="inlineStr">
        <is>
          <t>https://www.ncleg.gov/EnactedLegislation/Statutes/HTML/BySection/Chapter_20/GS_20-305.1.html</t>
        </is>
      </c>
    </row>
    <row r="108">
      <c r="A108" s="6" t="inlineStr">
        <is>
          <t>NC</t>
        </is>
      </c>
      <c r="B108" s="6" t="inlineStr">
        <is>
          <t>CPO warranty</t>
        </is>
      </c>
      <c r="C108" s="6" t="inlineStr">
        <is>
          <t>Not addressed</t>
        </is>
      </c>
      <c r="D108" s="6" t="inlineStr">
        <is>
          <t>-</t>
        </is>
      </c>
      <c r="E108" s="6" t="inlineStr"/>
      <c r="F108" s="6" t="inlineStr"/>
      <c r="G108" s="6" t="inlineStr">
        <is>
          <t>Under no circumstances shall the compensation under this section for warranty and recall service be in an amount less than the dealer's current retail labor rate</t>
        </is>
      </c>
      <c r="H108" s="6" t="inlineStr">
        <is>
          <t>§ 20-305.1(a)</t>
        </is>
      </c>
      <c r="I108" s="6" t="inlineStr">
        <is>
          <t>N.C. Gen. Stat. § 20-305.1</t>
        </is>
      </c>
      <c r="J108" s="6" t="inlineStr">
        <is>
          <t>high</t>
        </is>
      </c>
      <c r="K108" s="6" t="inlineStr">
        <is>
          <t>official</t>
        </is>
      </c>
      <c r="L108" s="6" t="inlineStr">
        <is>
          <t>https://www.ncleg.gov/EnactedLegislation/Statutes/HTML/BySection/Chapter_20/GS_20-305.1.html</t>
        </is>
      </c>
    </row>
    <row r="109">
      <c r="A109" s="6" t="inlineStr">
        <is>
          <t>NC</t>
        </is>
      </c>
      <c r="B109" s="6" t="inlineStr">
        <is>
          <t>Independent service contract</t>
        </is>
      </c>
      <c r="C109" s="6" t="inlineStr">
        <is>
          <t>Not addressed</t>
        </is>
      </c>
      <c r="D109" s="6" t="inlineStr">
        <is>
          <t>-</t>
        </is>
      </c>
      <c r="E109" s="6" t="inlineStr"/>
      <c r="F109" s="6" t="inlineStr"/>
      <c r="G109" s="6" t="inlineStr">
        <is>
          <t>Under no circumstances shall the compensation under this section for warranty and recall service be in an amount less than the dealer's current retail labor rate</t>
        </is>
      </c>
      <c r="H109" s="6" t="inlineStr">
        <is>
          <t>§ 20-305.1(a)</t>
        </is>
      </c>
      <c r="I109" s="6" t="inlineStr">
        <is>
          <t>N.C. Gen. Stat. § 20-305.1</t>
        </is>
      </c>
      <c r="J109" s="6" t="inlineStr">
        <is>
          <t>high</t>
        </is>
      </c>
      <c r="K109" s="6" t="inlineStr">
        <is>
          <t>official</t>
        </is>
      </c>
      <c r="L109" s="6" t="inlineStr">
        <is>
          <t>https://www.ncleg.gov/EnactedLegislation/Statutes/HTML/BySection/Chapter_20/GS_20-305.1.html</t>
        </is>
      </c>
    </row>
    <row r="110">
      <c r="A110" s="6" t="inlineStr">
        <is>
          <t>ND</t>
        </is>
      </c>
      <c r="B110" s="6" t="inlineStr">
        <is>
          <t>Factory warranty</t>
        </is>
      </c>
      <c r="C110" s="6" t="inlineStr">
        <is>
          <t>Required</t>
        </is>
      </c>
      <c r="D110" s="6" t="inlineStr">
        <is>
          <t>Independent/retail time guide</t>
        </is>
      </c>
      <c r="E110" s="6" t="inlineStr"/>
      <c r="F110" s="6" t="inlineStr">
        <is>
          <t>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is>
      </c>
      <c r="G110" s="6" t="inlineStr">
        <is>
          <t>may not be less than the average retail rate charged by the dealer as provided under subsection 5 multiplied by the time guide used by the dealer for nonwarranty customer-paid service repair orders.</t>
        </is>
      </c>
      <c r="H110" s="6" t="inlineStr">
        <is>
          <t>§ 51-07-29(1)(b)</t>
        </is>
      </c>
      <c r="I110" s="6" t="inlineStr">
        <is>
          <t>N.D. Cent. Code § 51-07-29</t>
        </is>
      </c>
      <c r="J110" s="6" t="inlineStr">
        <is>
          <t>high</t>
        </is>
      </c>
      <c r="K110" s="6" t="inlineStr">
        <is>
          <t>official</t>
        </is>
      </c>
      <c r="L110" s="6" t="inlineStr">
        <is>
          <t>https://www.ndlegis.gov/cencode/t51c07.pdf</t>
        </is>
      </c>
    </row>
    <row r="111">
      <c r="A111" s="6" t="inlineStr">
        <is>
          <t>ND</t>
        </is>
      </c>
      <c r="B111" s="6" t="inlineStr">
        <is>
          <t>Mfr-backed service contract</t>
        </is>
      </c>
      <c r="C111" s="6" t="inlineStr">
        <is>
          <t>Required</t>
        </is>
      </c>
      <c r="D111" s="6" t="inlineStr">
        <is>
          <t>Independent/retail time guide</t>
        </is>
      </c>
      <c r="E111" s="6" t="inlineStr"/>
      <c r="F111" s="6" t="inlineStr"/>
      <c r="G111" s="6" t="inlineStr">
        <is>
          <t>in connection with the following manufacturer or distributor sponsored, issued, or required items: ... (5) Extended warranty. ... (7) Service contracts.</t>
        </is>
      </c>
      <c r="H111" s="6" t="inlineStr">
        <is>
          <t>§ 51-07-29(1)(a)(5), (7)</t>
        </is>
      </c>
      <c r="I111" s="6" t="inlineStr">
        <is>
          <t>N.D. Cent. Code § 51-07-29</t>
        </is>
      </c>
      <c r="J111" s="6" t="inlineStr">
        <is>
          <t>high</t>
        </is>
      </c>
      <c r="K111" s="6" t="inlineStr">
        <is>
          <t>official</t>
        </is>
      </c>
      <c r="L111" s="6" t="inlineStr">
        <is>
          <t>https://www.ndlegis.gov/cencode/t51c07.pdf</t>
        </is>
      </c>
    </row>
    <row r="112">
      <c r="A112" s="6" t="inlineStr">
        <is>
          <t>ND</t>
        </is>
      </c>
      <c r="B112" s="6" t="inlineStr">
        <is>
          <t>CPO warranty</t>
        </is>
      </c>
      <c r="C112" s="6" t="inlineStr">
        <is>
          <t>Required</t>
        </is>
      </c>
      <c r="D112" s="6" t="inlineStr">
        <is>
          <t>Independent/retail time guide</t>
        </is>
      </c>
      <c r="E112" s="6" t="inlineStr"/>
      <c r="F112" s="6" t="inlineStr"/>
      <c r="G112" s="6" t="inlineStr">
        <is>
          <t>in connection with the following manufacturer or distributor sponsored, issued, or required items: ... (6) Certified preowned warranty.</t>
        </is>
      </c>
      <c r="H112" s="6" t="inlineStr">
        <is>
          <t>§ 51-07-29(1)(a)(6)</t>
        </is>
      </c>
      <c r="I112" s="6" t="inlineStr">
        <is>
          <t>N.D. Cent. Code § 51-07-29</t>
        </is>
      </c>
      <c r="J112" s="6" t="inlineStr">
        <is>
          <t>high</t>
        </is>
      </c>
      <c r="K112" s="6" t="inlineStr">
        <is>
          <t>official</t>
        </is>
      </c>
      <c r="L112" s="6" t="inlineStr">
        <is>
          <t>https://www.ndlegis.gov/cencode/t51c07.pdf</t>
        </is>
      </c>
    </row>
    <row r="113">
      <c r="A113" s="6" t="inlineStr">
        <is>
          <t>ND</t>
        </is>
      </c>
      <c r="B113" s="6" t="inlineStr">
        <is>
          <t>Independent service contract</t>
        </is>
      </c>
      <c r="C113" s="6" t="inlineStr">
        <is>
          <t>Conditional</t>
        </is>
      </c>
      <c r="D113" s="6" t="inlineStr">
        <is>
          <t>Independent/retail time guide</t>
        </is>
      </c>
      <c r="E113" s="6" t="inlineStr"/>
      <c r="F113" s="6" t="inlineStr"/>
      <c r="G113" s="6" t="inlineStr">
        <is>
          <t>A motor vehicle manufacturer or distributor shall reasonably compensate its dealers for labor and parts provided by the dealer in connection with the following manufacturer or distributor sponsored, issued, or required items:</t>
        </is>
      </c>
      <c r="H113" s="6" t="inlineStr">
        <is>
          <t>§ 51-07-29(1)(a)</t>
        </is>
      </c>
      <c r="I113" s="6" t="inlineStr">
        <is>
          <t>N.D. Cent. Code § 51-07-29</t>
        </is>
      </c>
      <c r="J113" s="6" t="inlineStr">
        <is>
          <t>high</t>
        </is>
      </c>
      <c r="K113" s="6" t="inlineStr">
        <is>
          <t>official</t>
        </is>
      </c>
      <c r="L113" s="6" t="inlineStr">
        <is>
          <t>https://www.ndlegis.gov/cencode/t51c07.pdf</t>
        </is>
      </c>
    </row>
    <row r="114">
      <c r="A114" s="6" t="inlineStr">
        <is>
          <t>NE</t>
        </is>
      </c>
      <c r="B114" s="6" t="inlineStr">
        <is>
          <t>Factory warranty</t>
        </is>
      </c>
      <c r="C114" s="6" t="inlineStr">
        <is>
          <t>Required</t>
        </is>
      </c>
      <c r="D114" s="6" t="inlineStr">
        <is>
          <t>Factory time (reasonable/adequate standard where stated)</t>
        </is>
      </c>
      <c r="E114" s="6" t="inlineStr"/>
      <c r="F114" s="6" t="inlineStr">
        <is>
          <t>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is>
      </c>
      <c r="G114" s="6" t="inlineStr">
        <is>
          <t>Time allowances for the diagnosis and performance of warranty work and service shall be adequate for a qualified technician to perform the work or service.</t>
        </is>
      </c>
      <c r="H114" s="6" t="inlineStr">
        <is>
          <t>§ 60-1438(2)(a)</t>
        </is>
      </c>
      <c r="I114" s="6" t="inlineStr">
        <is>
          <t>Neb. Rev. Stat. § 60-1438</t>
        </is>
      </c>
      <c r="J114" s="6" t="inlineStr">
        <is>
          <t>high</t>
        </is>
      </c>
      <c r="K114" s="6" t="inlineStr">
        <is>
          <t>official</t>
        </is>
      </c>
      <c r="L114" s="6" t="inlineStr">
        <is>
          <t>https://nebraskalegislature.gov/laws/statutes.php?statute=60-1438</t>
        </is>
      </c>
    </row>
    <row r="115">
      <c r="A115" s="6" t="inlineStr">
        <is>
          <t>NE</t>
        </is>
      </c>
      <c r="B115" s="6" t="inlineStr">
        <is>
          <t>Mfr-backed service contract</t>
        </is>
      </c>
      <c r="C115" s="6" t="inlineStr">
        <is>
          <t>Not addressed</t>
        </is>
      </c>
      <c r="D115" s="6" t="inlineStr">
        <is>
          <t>-</t>
        </is>
      </c>
      <c r="E115" s="6" t="inlineStr"/>
      <c r="F115" s="6" t="inlineStr"/>
      <c r="G115" s="6" t="inlineStr">
        <is>
          <t>The manufacturer or distributor shall compensate the new motor vehicle dealer for warranty service which such manufacturer or distributor requires the dealer to provide, including warranty and recall obligations</t>
        </is>
      </c>
      <c r="H115" s="6" t="inlineStr">
        <is>
          <t>§ 60-1438(1)</t>
        </is>
      </c>
      <c r="I115" s="6" t="inlineStr">
        <is>
          <t>Neb. Rev. Stat. § 60-1438</t>
        </is>
      </c>
      <c r="J115" s="6" t="inlineStr">
        <is>
          <t>high</t>
        </is>
      </c>
      <c r="K115" s="6" t="inlineStr">
        <is>
          <t>official</t>
        </is>
      </c>
      <c r="L115" s="6" t="inlineStr">
        <is>
          <t>https://nebraskalegislature.gov/laws/statutes.php?statute=60-1438</t>
        </is>
      </c>
    </row>
    <row r="116">
      <c r="A116" s="6" t="inlineStr">
        <is>
          <t>NE</t>
        </is>
      </c>
      <c r="B116" s="6" t="inlineStr">
        <is>
          <t>CPO warranty</t>
        </is>
      </c>
      <c r="C116" s="6" t="inlineStr">
        <is>
          <t>Not addressed</t>
        </is>
      </c>
      <c r="D116" s="6" t="inlineStr">
        <is>
          <t>-</t>
        </is>
      </c>
      <c r="E116" s="6" t="inlineStr"/>
      <c r="F116" s="6" t="inlineStr"/>
      <c r="G116" s="6" t="inlineStr">
        <is>
          <t>The manufacturer or distributor shall compensate the new motor vehicle dealer for warranty service which such manufacturer or distributor requires the dealer to provide, including warranty and recall obligations</t>
        </is>
      </c>
      <c r="H116" s="6" t="inlineStr">
        <is>
          <t>§ 60-1438(1)</t>
        </is>
      </c>
      <c r="I116" s="6" t="inlineStr">
        <is>
          <t>Neb. Rev. Stat. § 60-1438</t>
        </is>
      </c>
      <c r="J116" s="6" t="inlineStr">
        <is>
          <t>high</t>
        </is>
      </c>
      <c r="K116" s="6" t="inlineStr">
        <is>
          <t>official</t>
        </is>
      </c>
      <c r="L116" s="6" t="inlineStr">
        <is>
          <t>https://nebraskalegislature.gov/laws/statutes.php?statute=60-1438</t>
        </is>
      </c>
    </row>
    <row r="117">
      <c r="A117" s="6" t="inlineStr">
        <is>
          <t>NE</t>
        </is>
      </c>
      <c r="B117" s="6" t="inlineStr">
        <is>
          <t>Independent service contract</t>
        </is>
      </c>
      <c r="C117" s="6" t="inlineStr">
        <is>
          <t>Not addressed</t>
        </is>
      </c>
      <c r="D117" s="6" t="inlineStr">
        <is>
          <t>-</t>
        </is>
      </c>
      <c r="E117" s="6" t="inlineStr"/>
      <c r="F117" s="6" t="inlineStr"/>
      <c r="G117" s="6" t="inlineStr">
        <is>
          <t>The manufacturer or distributor shall compensate the new motor vehicle dealer for warranty service which such manufacturer or distributor requires the dealer to provide, including warranty and recall obligations</t>
        </is>
      </c>
      <c r="H117" s="6" t="inlineStr">
        <is>
          <t>§ 60-1438(1)</t>
        </is>
      </c>
      <c r="I117" s="6" t="inlineStr">
        <is>
          <t>Neb. Rev. Stat. § 60-1438</t>
        </is>
      </c>
      <c r="J117" s="6" t="inlineStr">
        <is>
          <t>high</t>
        </is>
      </c>
      <c r="K117" s="6" t="inlineStr">
        <is>
          <t>official</t>
        </is>
      </c>
      <c r="L117" s="6" t="inlineStr">
        <is>
          <t>https://nebraskalegislature.gov/laws/statutes.php?statute=60-1438</t>
        </is>
      </c>
    </row>
    <row r="118">
      <c r="A118" s="6" t="inlineStr">
        <is>
          <t>NH</t>
        </is>
      </c>
      <c r="B118" s="6" t="inlineStr">
        <is>
          <t>Factory warranty</t>
        </is>
      </c>
      <c r="C118" s="6" t="inlineStr">
        <is>
          <t>Required</t>
        </is>
      </c>
      <c r="D118" s="6" t="inlineStr">
        <is>
          <t>Factory time (reasonable/adequate standard where stated)</t>
        </is>
      </c>
      <c r="E118" s="6" t="inlineStr"/>
      <c r="F118" s="6" t="inlineStr">
        <is>
          <t>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is>
      </c>
      <c r="G118" s="6" t="inlineStr">
        <is>
          <t>Time allowances for the diagnosis and performance of warranty work and service shall be reasonable and adequate for the work to be performed.</t>
        </is>
      </c>
      <c r="H118" s="6" t="inlineStr">
        <is>
          <t>§ 357-C:5, II(b)(1)</t>
        </is>
      </c>
      <c r="I118" s="6" t="inlineStr">
        <is>
          <t>N.H. Rev. Stat. Ann. § 357-C:5, II</t>
        </is>
      </c>
      <c r="J118" s="6" t="inlineStr">
        <is>
          <t>high</t>
        </is>
      </c>
      <c r="K118" s="6" t="inlineStr">
        <is>
          <t>official</t>
        </is>
      </c>
      <c r="L118" s="6" t="inlineStr">
        <is>
          <t>https://gc.nh.gov/rsa/html/XXXI/357-C/357-C-5.htm</t>
        </is>
      </c>
    </row>
    <row r="119">
      <c r="A119" s="6" t="inlineStr">
        <is>
          <t>NH</t>
        </is>
      </c>
      <c r="B119" s="6" t="inlineStr">
        <is>
          <t>Mfr-backed service contract</t>
        </is>
      </c>
      <c r="C119" s="6" t="inlineStr">
        <is>
          <t>Required</t>
        </is>
      </c>
      <c r="D119" s="6" t="inlineStr">
        <is>
          <t>Factory time (reasonable/adequate standard where stated)</t>
        </is>
      </c>
      <c r="E119" s="6" t="inlineStr"/>
      <c r="F119" s="6" t="inlineStr"/>
      <c r="G119" s="6" t="inlineStr">
        <is>
          <t>labor under the warranty or maintenance plan, extended warranty, certified preowned warranty or a service contract, issued by the manufacturer or distributor or its common entity.</t>
        </is>
      </c>
      <c r="H119" s="6" t="inlineStr">
        <is>
          <t>§ 357-C:5, II(b)(1); II(b)(1)(A)</t>
        </is>
      </c>
      <c r="I119" s="6" t="inlineStr">
        <is>
          <t>N.H. Rev. Stat. Ann. § 357-C:5, II</t>
        </is>
      </c>
      <c r="J119" s="6" t="inlineStr">
        <is>
          <t>high</t>
        </is>
      </c>
      <c r="K119" s="6" t="inlineStr">
        <is>
          <t>official</t>
        </is>
      </c>
      <c r="L119" s="6" t="inlineStr">
        <is>
          <t>https://gc.nh.gov/rsa/html/XXXI/357-C/357-C-5.htm</t>
        </is>
      </c>
    </row>
    <row r="120">
      <c r="A120" s="6" t="inlineStr">
        <is>
          <t>NH</t>
        </is>
      </c>
      <c r="B120" s="6" t="inlineStr">
        <is>
          <t>CPO warranty</t>
        </is>
      </c>
      <c r="C120" s="6" t="inlineStr">
        <is>
          <t>Required</t>
        </is>
      </c>
      <c r="D120" s="6" t="inlineStr">
        <is>
          <t>Factory time (reasonable/adequate standard where stated)</t>
        </is>
      </c>
      <c r="E120" s="6" t="inlineStr"/>
      <c r="F120" s="6" t="inlineStr"/>
      <c r="G120" s="6" t="inlineStr">
        <is>
          <t>labor under the warranty or maintenance plan, extended warranty, certified preowned warranty or a service contract, issued by the manufacturer or distributor or its common entity.</t>
        </is>
      </c>
      <c r="H120" s="6" t="inlineStr">
        <is>
          <t>§ 357-C:5, II(b)(1)</t>
        </is>
      </c>
      <c r="I120" s="6" t="inlineStr">
        <is>
          <t>N.H. Rev. Stat. Ann. § 357-C:5, II</t>
        </is>
      </c>
      <c r="J120" s="6" t="inlineStr">
        <is>
          <t>high</t>
        </is>
      </c>
      <c r="K120" s="6" t="inlineStr">
        <is>
          <t>official</t>
        </is>
      </c>
      <c r="L120" s="6" t="inlineStr">
        <is>
          <t>https://gc.nh.gov/rsa/html/XXXI/357-C/357-C-5.htm</t>
        </is>
      </c>
    </row>
    <row r="121">
      <c r="A121" s="6" t="inlineStr">
        <is>
          <t>NH</t>
        </is>
      </c>
      <c r="B121" s="6" t="inlineStr">
        <is>
          <t>Independent service contract</t>
        </is>
      </c>
      <c r="C121" s="6" t="inlineStr">
        <is>
          <t>Not reached</t>
        </is>
      </c>
      <c r="D121" s="6" t="inlineStr">
        <is>
          <t>-</t>
        </is>
      </c>
      <c r="E121" s="6" t="inlineStr"/>
      <c r="F121" s="6" t="inlineStr"/>
      <c r="G121" s="6" t="inlineStr">
        <is>
          <t>issued by the manufacturer or distributor or its common entity.</t>
        </is>
      </c>
      <c r="H121" s="6" t="inlineStr">
        <is>
          <t>§ 357-C:5, II(b)(1)</t>
        </is>
      </c>
      <c r="I121" s="6" t="inlineStr">
        <is>
          <t>N.H. Rev. Stat. Ann. § 357-C:5, II</t>
        </is>
      </c>
      <c r="J121" s="6" t="inlineStr">
        <is>
          <t>high</t>
        </is>
      </c>
      <c r="K121" s="6" t="inlineStr">
        <is>
          <t>official</t>
        </is>
      </c>
      <c r="L121" s="6" t="inlineStr">
        <is>
          <t>https://gc.nh.gov/rsa/html/XXXI/357-C/357-C-5.htm</t>
        </is>
      </c>
    </row>
    <row r="122">
      <c r="A122" s="6" t="inlineStr">
        <is>
          <t>NJ</t>
        </is>
      </c>
      <c r="B122" s="6" t="inlineStr">
        <is>
          <t>Factory warranty</t>
        </is>
      </c>
      <c r="C122" s="6" t="inlineStr">
        <is>
          <t>Required</t>
        </is>
      </c>
      <c r="D122" s="6" t="inlineStr">
        <is>
          <t>OEM time x multiplier</t>
        </is>
      </c>
      <c r="E122" s="6" t="inlineStr"/>
      <c r="F122" s="6" t="inlineStr">
        <is>
          <t>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is>
      </c>
      <c r="G122" s="6" t="inlineStr">
        <is>
          <t>at the motor vehicle franchisee's discretion, an established average retail labor time allowance, in lieu of the motor vehicle franchisor's labor time guide for franchisor-paid repairs or service</t>
        </is>
      </c>
      <c r="H122" s="6" t="inlineStr">
        <is>
          <t>§ 56:10-15(m)</t>
        </is>
      </c>
      <c r="I122" s="6" t="inlineStr">
        <is>
          <t>N.J. Stat. Ann. § 56:10-15 (as amended by P.L.2025, c.140, § 7)</t>
        </is>
      </c>
      <c r="J122" s="6" t="inlineStr">
        <is>
          <t>high</t>
        </is>
      </c>
      <c r="K122" s="6" t="inlineStr">
        <is>
          <t>enrolled_act</t>
        </is>
      </c>
      <c r="L122" s="6" t="inlineStr">
        <is>
          <t>https://pub.njleg.gov/Bills/2024/PL25/140_.PDF (enrolled chapter law, S3309; official codified text is on lis.njleg.state.nj.us)</t>
        </is>
      </c>
    </row>
    <row r="123">
      <c r="A123" s="6" t="inlineStr">
        <is>
          <t>NJ</t>
        </is>
      </c>
      <c r="B123" s="6" t="inlineStr">
        <is>
          <t>Mfr-backed service contract</t>
        </is>
      </c>
      <c r="C123" s="6" t="inlineStr">
        <is>
          <t>Conditional</t>
        </is>
      </c>
      <c r="D123" s="6" t="inlineStr">
        <is>
          <t>OEM time x multiplier</t>
        </is>
      </c>
      <c r="E123" s="6" t="inlineStr"/>
      <c r="F123" s="6" t="inlineStr"/>
      <c r="G123" s="6" t="inlineStr">
        <is>
          <t>perform labor services or provide parts in satisfaction of a repair service offered and reimbursed by the motor vehicle franchisor, including, but not limited to, a warranty, an extended warranty, a maintenance plan, a service-related plan, or a recall</t>
        </is>
      </c>
      <c r="H123" s="6" t="inlineStr">
        <is>
          <t>§ 56:10-15 (intro); (g); (h)</t>
        </is>
      </c>
      <c r="I123" s="6" t="inlineStr">
        <is>
          <t>N.J. Stat. Ann. § 56:10-15 (as amended by P.L.2025, c.140, § 7)</t>
        </is>
      </c>
      <c r="J123" s="6" t="inlineStr">
        <is>
          <t>high</t>
        </is>
      </c>
      <c r="K123" s="6" t="inlineStr">
        <is>
          <t>enrolled_act</t>
        </is>
      </c>
      <c r="L123" s="6" t="inlineStr">
        <is>
          <t>https://pub.njleg.gov/Bills/2024/PL25/140_.PDF (enrolled chapter law, S3309; official codified text is on lis.njleg.state.nj.us)</t>
        </is>
      </c>
    </row>
    <row r="124">
      <c r="A124" s="6" t="inlineStr">
        <is>
          <t>NJ</t>
        </is>
      </c>
      <c r="B124" s="6" t="inlineStr">
        <is>
          <t>CPO warranty</t>
        </is>
      </c>
      <c r="C124" s="6" t="inlineStr">
        <is>
          <t>Conditional</t>
        </is>
      </c>
      <c r="D124" s="6" t="inlineStr">
        <is>
          <t>OEM time x multiplier</t>
        </is>
      </c>
      <c r="E124" s="6" t="inlineStr"/>
      <c r="F124" s="6" t="inlineStr"/>
      <c r="G124" s="6" t="inlineStr">
        <is>
          <t>perform labor services or provide parts in satisfaction of a repair service offered and reimbursed by the motor vehicle franchisor, including, but not limited to, a warranty, an extended warranty, a maintenance plan, a service-related plan, or a recall</t>
        </is>
      </c>
      <c r="H124" s="6" t="inlineStr">
        <is>
          <t>§ 56:10-15 (intro)</t>
        </is>
      </c>
      <c r="I124" s="6" t="inlineStr">
        <is>
          <t>N.J. Stat. Ann. § 56:10-15 (as amended by P.L.2025, c.140, § 7)</t>
        </is>
      </c>
      <c r="J124" s="6" t="inlineStr">
        <is>
          <t>high</t>
        </is>
      </c>
      <c r="K124" s="6" t="inlineStr">
        <is>
          <t>enrolled_act</t>
        </is>
      </c>
      <c r="L124" s="6" t="inlineStr">
        <is>
          <t>https://pub.njleg.gov/Bills/2024/PL25/140_.PDF (enrolled chapter law, S3309; official codified text is on lis.njleg.state.nj.us)</t>
        </is>
      </c>
    </row>
    <row r="125">
      <c r="A125" s="6" t="inlineStr">
        <is>
          <t>NJ</t>
        </is>
      </c>
      <c r="B125" s="6" t="inlineStr">
        <is>
          <t>Independent service contract</t>
        </is>
      </c>
      <c r="C125" s="6" t="inlineStr">
        <is>
          <t>Conditional</t>
        </is>
      </c>
      <c r="D125" s="6" t="inlineStr">
        <is>
          <t>OEM time x multiplier</t>
        </is>
      </c>
      <c r="E125" s="6" t="inlineStr"/>
      <c r="F125" s="6" t="inlineStr"/>
      <c r="G125" s="6" t="inlineStr">
        <is>
          <t>in satisfaction of a repair service offered and reimbursed by the motor vehicle franchisor</t>
        </is>
      </c>
      <c r="H125" s="6" t="inlineStr">
        <is>
          <t>§ 56:10-15 (intro)</t>
        </is>
      </c>
      <c r="I125" s="6" t="inlineStr">
        <is>
          <t>N.J. Stat. Ann. § 56:10-15 (as amended by P.L.2025, c.140, § 7)</t>
        </is>
      </c>
      <c r="J125" s="6" t="inlineStr">
        <is>
          <t>high</t>
        </is>
      </c>
      <c r="K125" s="6" t="inlineStr">
        <is>
          <t>enrolled_act</t>
        </is>
      </c>
      <c r="L125" s="6" t="inlineStr">
        <is>
          <t>https://pub.njleg.gov/Bills/2024/PL25/140_.PDF (enrolled chapter law, S3309; official codified text is on lis.njleg.state.nj.us)</t>
        </is>
      </c>
    </row>
    <row r="126">
      <c r="A126" s="6" t="inlineStr">
        <is>
          <t>NM</t>
        </is>
      </c>
      <c r="B126" s="6" t="inlineStr">
        <is>
          <t>Factory warranty</t>
        </is>
      </c>
      <c r="C126" s="6" t="inlineStr">
        <is>
          <t>Required</t>
        </is>
      </c>
      <c r="D126" s="6" t="inlineStr">
        <is>
          <t>Statute silent on time / not established</t>
        </is>
      </c>
      <c r="E126" s="6" t="inlineStr"/>
      <c r="F126" s="6" t="inlineStr">
        <is>
          <t>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is>
      </c>
      <c r="G126" s="6" t="inlineStr">
        <is>
          <t>A manufacturer shall compensate a dealer for labor and diagnostic work for recall or warranty repairs at the rates charged by the dealer to its retail customers for such work.</t>
        </is>
      </c>
      <c r="H126" s="6" t="inlineStr">
        <is>
          <t>§ 57-16-7(D)</t>
        </is>
      </c>
      <c r="I126" s="6" t="inlineStr">
        <is>
          <t>N.M. Stat. Ann. § 57-16-7 (NMSA 1978)</t>
        </is>
      </c>
      <c r="J126" s="6" t="inlineStr">
        <is>
          <t>medium</t>
        </is>
      </c>
      <c r="K126" s="6" t="inlineStr">
        <is>
          <t>official</t>
        </is>
      </c>
      <c r="L126" s="6" t="inlineStr">
        <is>
          <t>https://nmonesource.com/nmos/nmsa/en/4423/1/document.do (official NMSA 1978 Ch. 57, read 9/25/2026); mirror: https://law.justia.com/codes/new-mexico/chapter-57/article-16/section-57-16-7/ (re-checked 10/6/2026)</t>
        </is>
      </c>
    </row>
    <row r="127">
      <c r="A127" s="6" t="inlineStr">
        <is>
          <t>NM</t>
        </is>
      </c>
      <c r="B127" s="6" t="inlineStr">
        <is>
          <t>Mfr-backed service contract</t>
        </is>
      </c>
      <c r="C127" s="6" t="inlineStr">
        <is>
          <t>Not addressed</t>
        </is>
      </c>
      <c r="D127" s="6" t="inlineStr">
        <is>
          <t>-</t>
        </is>
      </c>
      <c r="E127" s="6" t="inlineStr"/>
      <c r="F127" s="6" t="inlineStr"/>
      <c r="G127" s="6" t="inlineStr">
        <is>
          <t>schedule of compensation to be paid to the dealer for recall or warranty repairs, work or service, including parts, labor and diagnostic work, required of the dealer by the manufacturer</t>
        </is>
      </c>
      <c r="H127" s="6" t="inlineStr">
        <is>
          <t>§ 57-16-7(B)</t>
        </is>
      </c>
      <c r="I127" s="6" t="inlineStr">
        <is>
          <t>N.M. Stat. Ann. § 57-16-7 (NMSA 1978)</t>
        </is>
      </c>
      <c r="J127" s="6" t="inlineStr">
        <is>
          <t>medium</t>
        </is>
      </c>
      <c r="K127" s="6" t="inlineStr">
        <is>
          <t>official</t>
        </is>
      </c>
      <c r="L127" s="6" t="inlineStr">
        <is>
          <t>https://nmonesource.com/nmos/nmsa/en/4423/1/document.do (official NMSA 1978 Ch. 57, read 9/25/2026); mirror: https://law.justia.com/codes/new-mexico/chapter-57/article-16/section-57-16-7/ (re-checked 10/6/2026)</t>
        </is>
      </c>
    </row>
    <row r="128">
      <c r="A128" s="6" t="inlineStr">
        <is>
          <t>NM</t>
        </is>
      </c>
      <c r="B128" s="6" t="inlineStr">
        <is>
          <t>CPO warranty</t>
        </is>
      </c>
      <c r="C128" s="6" t="inlineStr">
        <is>
          <t>Not addressed</t>
        </is>
      </c>
      <c r="D128" s="6" t="inlineStr">
        <is>
          <t>-</t>
        </is>
      </c>
      <c r="E128" s="6" t="inlineStr"/>
      <c r="F128" s="6" t="inlineStr"/>
      <c r="G128" s="6" t="inlineStr">
        <is>
          <t>schedule of compensation to be paid to the dealer for recall or warranty repairs, work or service, including parts, labor and diagnostic work, required of the dealer by the manufacturer</t>
        </is>
      </c>
      <c r="H128" s="6" t="inlineStr">
        <is>
          <t>§ 57-16-7(B)</t>
        </is>
      </c>
      <c r="I128" s="6" t="inlineStr">
        <is>
          <t>N.M. Stat. Ann. § 57-16-7 (NMSA 1978)</t>
        </is>
      </c>
      <c r="J128" s="6" t="inlineStr">
        <is>
          <t>medium</t>
        </is>
      </c>
      <c r="K128" s="6" t="inlineStr">
        <is>
          <t>official</t>
        </is>
      </c>
      <c r="L128" s="6" t="inlineStr">
        <is>
          <t>https://nmonesource.com/nmos/nmsa/en/4423/1/document.do (official NMSA 1978 Ch. 57, read 9/25/2026); mirror: https://law.justia.com/codes/new-mexico/chapter-57/article-16/section-57-16-7/ (re-checked 10/6/2026)</t>
        </is>
      </c>
    </row>
    <row r="129">
      <c r="A129" s="6" t="inlineStr">
        <is>
          <t>NM</t>
        </is>
      </c>
      <c r="B129" s="6" t="inlineStr">
        <is>
          <t>Independent service contract</t>
        </is>
      </c>
      <c r="C129" s="6" t="inlineStr">
        <is>
          <t>Not addressed</t>
        </is>
      </c>
      <c r="D129" s="6" t="inlineStr">
        <is>
          <t>-</t>
        </is>
      </c>
      <c r="E129" s="6" t="inlineStr"/>
      <c r="F129" s="6" t="inlineStr"/>
      <c r="G129" s="6" t="inlineStr">
        <is>
          <t>Each manufacturer shall specify in its franchise agreement, or in a separate written agreement, with each of its dealers licensed in this state, the dealer's obligation to perform warranty work or service on the manufacturer's products.</t>
        </is>
      </c>
      <c r="H129" s="6" t="inlineStr">
        <is>
          <t>§ 57-16-7(A)</t>
        </is>
      </c>
      <c r="I129" s="6" t="inlineStr">
        <is>
          <t>N.M. Stat. Ann. § 57-16-7 (NMSA 1978)</t>
        </is>
      </c>
      <c r="J129" s="6" t="inlineStr">
        <is>
          <t>medium</t>
        </is>
      </c>
      <c r="K129" s="6" t="inlineStr">
        <is>
          <t>official</t>
        </is>
      </c>
      <c r="L129" s="6" t="inlineStr">
        <is>
          <t>https://nmonesource.com/nmos/nmsa/en/4423/1/document.do (official NMSA 1978 Ch. 57, read 9/25/2026); mirror: https://law.justia.com/codes/new-mexico/chapter-57/article-16/section-57-16-7/ (re-checked 10/6/2026)</t>
        </is>
      </c>
    </row>
    <row r="130">
      <c r="A130" s="6" t="inlineStr">
        <is>
          <t>NV</t>
        </is>
      </c>
      <c r="B130" s="6" t="inlineStr">
        <is>
          <t>Factory warranty</t>
        </is>
      </c>
      <c r="C130" s="6" t="inlineStr">
        <is>
          <t>Required</t>
        </is>
      </c>
      <c r="D130" s="6" t="inlineStr">
        <is>
          <t>Statute silent on time / not established</t>
        </is>
      </c>
      <c r="E130" s="6" t="inlineStr"/>
      <c r="F130" s="6" t="inlineStr">
        <is>
          <t>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is>
      </c>
      <c r="G130" s="6" t="inlineStr">
        <is>
          <t>fail to compensate a dealer fairly for labor, parts and other expenses incurred by the dealer under the manufacturer's warranty agreements or any recall service or repairs</t>
        </is>
      </c>
      <c r="H130" s="6" t="inlineStr">
        <is>
          <t>§ 482.36385(3)</t>
        </is>
      </c>
      <c r="I130" s="6" t="inlineStr">
        <is>
          <t>Nev. Rev. Stat. § 482.36385(3)</t>
        </is>
      </c>
      <c r="J130" s="6" t="inlineStr">
        <is>
          <t>high</t>
        </is>
      </c>
      <c r="K130" s="6" t="inlineStr">
        <is>
          <t>official</t>
        </is>
      </c>
      <c r="L130" s="6" t="inlineStr">
        <is>
          <t>https://www.leg.state.nv.us/NRS/NRS-482.html#NRS482Sec36385</t>
        </is>
      </c>
    </row>
    <row r="131">
      <c r="A131" s="6" t="inlineStr">
        <is>
          <t>NV</t>
        </is>
      </c>
      <c r="B131" s="6" t="inlineStr">
        <is>
          <t>Mfr-backed service contract</t>
        </is>
      </c>
      <c r="C131" s="6" t="inlineStr">
        <is>
          <t>Not addressed</t>
        </is>
      </c>
      <c r="D131" s="6" t="inlineStr">
        <is>
          <t>-</t>
        </is>
      </c>
      <c r="E131" s="6" t="inlineStr"/>
      <c r="F131" s="6" t="inlineStr"/>
      <c r="G131" s="6" t="inlineStr">
        <is>
          <t>fail to compensate a dealer fairly for labor, parts and other expenses incurred by the dealer under the manufacturer's warranty agreements or any recall service or repairs</t>
        </is>
      </c>
      <c r="H131" s="6" t="inlineStr">
        <is>
          <t>§ 482.36385(3)</t>
        </is>
      </c>
      <c r="I131" s="6" t="inlineStr">
        <is>
          <t>Nev. Rev. Stat. § 482.36385(3)</t>
        </is>
      </c>
      <c r="J131" s="6" t="inlineStr">
        <is>
          <t>high</t>
        </is>
      </c>
      <c r="K131" s="6" t="inlineStr">
        <is>
          <t>official</t>
        </is>
      </c>
      <c r="L131" s="6" t="inlineStr">
        <is>
          <t>https://www.leg.state.nv.us/NRS/NRS-482.html#NRS482Sec36385</t>
        </is>
      </c>
    </row>
    <row r="132">
      <c r="A132" s="6" t="inlineStr">
        <is>
          <t>NV</t>
        </is>
      </c>
      <c r="B132" s="6" t="inlineStr">
        <is>
          <t>CPO warranty</t>
        </is>
      </c>
      <c r="C132" s="6" t="inlineStr">
        <is>
          <t>Not addressed</t>
        </is>
      </c>
      <c r="D132" s="6" t="inlineStr">
        <is>
          <t>-</t>
        </is>
      </c>
      <c r="E132" s="6" t="inlineStr"/>
      <c r="F132" s="6" t="inlineStr"/>
      <c r="G132" s="6" t="inlineStr">
        <is>
          <t>fail to compensate a dealer fairly for labor, parts and other expenses incurred by the dealer under the manufacturer's warranty agreements or any recall service or repairs</t>
        </is>
      </c>
      <c r="H132" s="6" t="inlineStr">
        <is>
          <t>§ 482.36385(3)</t>
        </is>
      </c>
      <c r="I132" s="6" t="inlineStr">
        <is>
          <t>Nev. Rev. Stat. § 482.36385(3)</t>
        </is>
      </c>
      <c r="J132" s="6" t="inlineStr">
        <is>
          <t>high</t>
        </is>
      </c>
      <c r="K132" s="6" t="inlineStr">
        <is>
          <t>official</t>
        </is>
      </c>
      <c r="L132" s="6" t="inlineStr">
        <is>
          <t>https://www.leg.state.nv.us/NRS/NRS-482.html#NRS482Sec36385</t>
        </is>
      </c>
    </row>
    <row r="133">
      <c r="A133" s="6" t="inlineStr">
        <is>
          <t>NV</t>
        </is>
      </c>
      <c r="B133" s="6" t="inlineStr">
        <is>
          <t>Independent service contract</t>
        </is>
      </c>
      <c r="C133" s="6" t="inlineStr">
        <is>
          <t>Not addressed</t>
        </is>
      </c>
      <c r="D133" s="6" t="inlineStr">
        <is>
          <t>-</t>
        </is>
      </c>
      <c r="E133" s="6" t="inlineStr"/>
      <c r="F133" s="6" t="inlineStr"/>
      <c r="G133" s="6" t="inlineStr">
        <is>
          <t>fail to compensate a dealer fairly for labor, parts and other expenses incurred by the dealer under the manufacturer's warranty agreements or any recall service or repairs</t>
        </is>
      </c>
      <c r="H133" s="6" t="inlineStr">
        <is>
          <t>§ 482.36385(3)</t>
        </is>
      </c>
      <c r="I133" s="6" t="inlineStr">
        <is>
          <t>Nev. Rev. Stat. § 482.36385(3)</t>
        </is>
      </c>
      <c r="J133" s="6" t="inlineStr">
        <is>
          <t>high</t>
        </is>
      </c>
      <c r="K133" s="6" t="inlineStr">
        <is>
          <t>official</t>
        </is>
      </c>
      <c r="L133" s="6" t="inlineStr">
        <is>
          <t>https://www.leg.state.nv.us/NRS/NRS-482.html#NRS482Sec36385</t>
        </is>
      </c>
    </row>
    <row r="134">
      <c r="A134" s="6" t="inlineStr">
        <is>
          <t>NY</t>
        </is>
      </c>
      <c r="B134" s="6" t="inlineStr">
        <is>
          <t>Factory warranty</t>
        </is>
      </c>
      <c r="C134" s="6" t="inlineStr">
        <is>
          <t>Required</t>
        </is>
      </c>
      <c r="D134" s="6" t="inlineStr">
        <is>
          <t>Independent/retail time guide</t>
        </is>
      </c>
      <c r="E134" s="6" t="inlineStr"/>
      <c r="F134" s="6" t="inlineStr">
        <is>
          <t>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is>
      </c>
      <c r="G134" s="6" t="inlineStr">
        <is>
          <t>reasonable compensation shall be the reasonable labor time allowances defined by the retail labor time guide reasonably utilized by a franchised motor vehicle dealer for non-warranty customer paid labor operations.</t>
        </is>
      </c>
      <c r="H134" s="6" t="inlineStr">
        <is>
          <t>§ 465(1)</t>
        </is>
      </c>
      <c r="I134" s="6" t="inlineStr">
        <is>
          <t>N.Y. Veh. &amp; Traf. Law § 465(1) (Franchised Motor Vehicle Dealer Act, Art. 17-A)</t>
        </is>
      </c>
      <c r="J134" s="6" t="inlineStr">
        <is>
          <t>high</t>
        </is>
      </c>
      <c r="K134" s="6" t="inlineStr">
        <is>
          <t>enrolled_act</t>
        </is>
      </c>
      <c r="L134"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5">
      <c r="A135" s="6" t="inlineStr">
        <is>
          <t>NY</t>
        </is>
      </c>
      <c r="B135" s="6" t="inlineStr">
        <is>
          <t>Mfr-backed service contract</t>
        </is>
      </c>
      <c r="C135" s="6" t="inlineStr">
        <is>
          <t>Required</t>
        </is>
      </c>
      <c r="D135" s="6" t="inlineStr">
        <is>
          <t>Independent/retail time guide</t>
        </is>
      </c>
      <c r="E135" s="6" t="inlineStr"/>
      <c r="F135" s="6" t="inlineStr"/>
      <c r="G135" s="6" t="inlineStr">
        <is>
          <t>Every franchisor shall properly fulfill any warranty agreement and/or franchisor's service contract, including but not limited to all warranty repairs, extended warranty repairs, factory compensated repairs</t>
        </is>
      </c>
      <c r="H135" s="6" t="inlineStr">
        <is>
          <t>§ 465(1)</t>
        </is>
      </c>
      <c r="I135" s="6" t="inlineStr">
        <is>
          <t>N.Y. Veh. &amp; Traf. Law § 465(1) (Franchised Motor Vehicle Dealer Act, Art. 17-A)</t>
        </is>
      </c>
      <c r="J135" s="6" t="inlineStr">
        <is>
          <t>high</t>
        </is>
      </c>
      <c r="K135" s="6" t="inlineStr">
        <is>
          <t>enrolled_act</t>
        </is>
      </c>
      <c r="L135"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6">
      <c r="A136" s="6" t="inlineStr">
        <is>
          <t>NY</t>
        </is>
      </c>
      <c r="B136" s="6" t="inlineStr">
        <is>
          <t>CPO warranty</t>
        </is>
      </c>
      <c r="C136" s="6" t="inlineStr">
        <is>
          <t>Conditional</t>
        </is>
      </c>
      <c r="D136" s="6" t="inlineStr">
        <is>
          <t>Independent/retail time guide</t>
        </is>
      </c>
      <c r="E136" s="6" t="inlineStr"/>
      <c r="F136" s="6" t="inlineStr"/>
      <c r="G136" s="6" t="inlineStr">
        <is>
          <t>including but not limited to all warranty repairs, extended warranty repairs, factory compensated repairs, recalls, diagnostics, parts and other voluntary stop-sell repairs</t>
        </is>
      </c>
      <c r="H136" s="6" t="inlineStr">
        <is>
          <t>§ 465(1)</t>
        </is>
      </c>
      <c r="I136" s="6" t="inlineStr">
        <is>
          <t>N.Y. Veh. &amp; Traf. Law § 465(1) (Franchised Motor Vehicle Dealer Act, Art. 17-A)</t>
        </is>
      </c>
      <c r="J136" s="6" t="inlineStr">
        <is>
          <t>high</t>
        </is>
      </c>
      <c r="K136" s="6" t="inlineStr">
        <is>
          <t>enrolled_act</t>
        </is>
      </c>
      <c r="L136"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7">
      <c r="A137" s="6" t="inlineStr">
        <is>
          <t>NY</t>
        </is>
      </c>
      <c r="B137" s="6" t="inlineStr">
        <is>
          <t>Independent service contract</t>
        </is>
      </c>
      <c r="C137" s="6" t="inlineStr">
        <is>
          <t>Not reached</t>
        </is>
      </c>
      <c r="D137" s="6" t="inlineStr">
        <is>
          <t>-</t>
        </is>
      </c>
      <c r="E137" s="6" t="inlineStr"/>
      <c r="F137" s="6" t="inlineStr"/>
      <c r="G137" s="6" t="inlineStr">
        <is>
          <t>All warranty claims and/or claims under a franchisor's service contract made by franchised motor vehicle dealers shall be paid within thirty days following their approval.</t>
        </is>
      </c>
      <c r="H137" s="6" t="inlineStr">
        <is>
          <t>§ 465(1)</t>
        </is>
      </c>
      <c r="I137" s="6" t="inlineStr">
        <is>
          <t>N.Y. Veh. &amp; Traf. Law § 465(1) (Franchised Motor Vehicle Dealer Act, Art. 17-A)</t>
        </is>
      </c>
      <c r="J137" s="6" t="inlineStr">
        <is>
          <t>high</t>
        </is>
      </c>
      <c r="K137" s="6" t="inlineStr">
        <is>
          <t>enrolled_act</t>
        </is>
      </c>
      <c r="L137" s="6" t="inlineStr">
        <is>
          <t>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is>
      </c>
    </row>
    <row r="138">
      <c r="A138" s="6" t="inlineStr">
        <is>
          <t>OH</t>
        </is>
      </c>
      <c r="B138" s="6" t="inlineStr">
        <is>
          <t>Factory warranty</t>
        </is>
      </c>
      <c r="C138" s="6" t="inlineStr">
        <is>
          <t>Required</t>
        </is>
      </c>
      <c r="D138" s="6" t="inlineStr">
        <is>
          <t>Factory time (reasonable/adequate standard where stated)</t>
        </is>
      </c>
      <c r="E138" s="6" t="inlineStr"/>
      <c r="F138" s="6" t="inlineStr">
        <is>
          <t>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is>
      </c>
      <c r="G138" s="6" t="inlineStr">
        <is>
          <t>The franchisor shall use time allowances for the diagnosis and performance of the warranty and recall work and service that are reasonable and adequate for the work or services to be performed by a qualified technician.</t>
        </is>
      </c>
      <c r="H138" s="6" t="inlineStr">
        <is>
          <t>§ 4517.52(D)(1)</t>
        </is>
      </c>
      <c r="I138" s="6" t="inlineStr">
        <is>
          <t>Ohio Rev. Code § 4517.52</t>
        </is>
      </c>
      <c r="J138" s="6" t="inlineStr">
        <is>
          <t>high</t>
        </is>
      </c>
      <c r="K138" s="6" t="inlineStr">
        <is>
          <t>official</t>
        </is>
      </c>
      <c r="L138" s="6" t="inlineStr">
        <is>
          <t>https://codes.ohio.gov/ohio-revised-code/section-4517.52</t>
        </is>
      </c>
    </row>
    <row r="139">
      <c r="A139" s="6" t="inlineStr">
        <is>
          <t>OH</t>
        </is>
      </c>
      <c r="B139" s="6" t="inlineStr">
        <is>
          <t>Mfr-backed service contract</t>
        </is>
      </c>
      <c r="C139" s="6" t="inlineStr">
        <is>
          <t>Not addressed</t>
        </is>
      </c>
      <c r="D139" s="6" t="inlineStr">
        <is>
          <t>-</t>
        </is>
      </c>
      <c r="E139" s="6" t="inlineStr"/>
      <c r="F139" s="6" t="inlineStr"/>
      <c r="G139" s="6" t="inlineStr">
        <is>
          <t>Each franchisor shall compensate each of its franchisees for labor and parts used to fulfill warranty and recall obligations</t>
        </is>
      </c>
      <c r="H139" s="6" t="inlineStr">
        <is>
          <t>§ 4517.52(B)</t>
        </is>
      </c>
      <c r="I139" s="6" t="inlineStr">
        <is>
          <t>Ohio Rev. Code § 4517.52</t>
        </is>
      </c>
      <c r="J139" s="6" t="inlineStr">
        <is>
          <t>high</t>
        </is>
      </c>
      <c r="K139" s="6" t="inlineStr">
        <is>
          <t>official</t>
        </is>
      </c>
      <c r="L139" s="6" t="inlineStr">
        <is>
          <t>https://codes.ohio.gov/ohio-revised-code/section-4517.52</t>
        </is>
      </c>
    </row>
    <row r="140">
      <c r="A140" s="6" t="inlineStr">
        <is>
          <t>OH</t>
        </is>
      </c>
      <c r="B140" s="6" t="inlineStr">
        <is>
          <t>CPO warranty</t>
        </is>
      </c>
      <c r="C140" s="6" t="inlineStr">
        <is>
          <t>Not addressed</t>
        </is>
      </c>
      <c r="D140" s="6" t="inlineStr">
        <is>
          <t>-</t>
        </is>
      </c>
      <c r="E140" s="6" t="inlineStr"/>
      <c r="F140" s="6" t="inlineStr"/>
      <c r="G140" s="6" t="inlineStr">
        <is>
          <t>Each franchisor shall compensate each of its franchisees for labor and parts used to fulfill warranty and recall obligations</t>
        </is>
      </c>
      <c r="H140" s="6" t="inlineStr">
        <is>
          <t>§ 4517.52(B)</t>
        </is>
      </c>
      <c r="I140" s="6" t="inlineStr">
        <is>
          <t>Ohio Rev. Code § 4517.52</t>
        </is>
      </c>
      <c r="J140" s="6" t="inlineStr">
        <is>
          <t>high</t>
        </is>
      </c>
      <c r="K140" s="6" t="inlineStr">
        <is>
          <t>official</t>
        </is>
      </c>
      <c r="L140" s="6" t="inlineStr">
        <is>
          <t>https://codes.ohio.gov/ohio-revised-code/section-4517.52</t>
        </is>
      </c>
    </row>
    <row r="141">
      <c r="A141" s="6" t="inlineStr">
        <is>
          <t>OH</t>
        </is>
      </c>
      <c r="B141" s="6" t="inlineStr">
        <is>
          <t>Independent service contract</t>
        </is>
      </c>
      <c r="C141" s="6" t="inlineStr">
        <is>
          <t>Not addressed</t>
        </is>
      </c>
      <c r="D141" s="6" t="inlineStr">
        <is>
          <t>-</t>
        </is>
      </c>
      <c r="E141" s="6" t="inlineStr"/>
      <c r="F141" s="6" t="inlineStr"/>
      <c r="G141" s="6" t="inlineStr">
        <is>
          <t>Each franchisor shall fulfill warranty and recall obligations of diagnosing, repairing, and servicing motor vehicles</t>
        </is>
      </c>
      <c r="H141" s="6" t="inlineStr">
        <is>
          <t>§ 4517.52(A)</t>
        </is>
      </c>
      <c r="I141" s="6" t="inlineStr">
        <is>
          <t>Ohio Rev. Code § 4517.52</t>
        </is>
      </c>
      <c r="J141" s="6" t="inlineStr">
        <is>
          <t>high</t>
        </is>
      </c>
      <c r="K141" s="6" t="inlineStr">
        <is>
          <t>official</t>
        </is>
      </c>
      <c r="L141" s="6" t="inlineStr">
        <is>
          <t>https://codes.ohio.gov/ohio-revised-code/section-4517.52</t>
        </is>
      </c>
    </row>
    <row r="142">
      <c r="A142" s="6" t="inlineStr">
        <is>
          <t>OK</t>
        </is>
      </c>
      <c r="B142" s="6" t="inlineStr">
        <is>
          <t>Factory warranty</t>
        </is>
      </c>
      <c r="C142" s="6" t="inlineStr">
        <is>
          <t>Required</t>
        </is>
      </c>
      <c r="D142" s="6" t="inlineStr">
        <is>
          <t>Factory time (reasonable/adequate standard where stated)</t>
        </is>
      </c>
      <c r="E142" s="6" t="inlineStr"/>
      <c r="F142" s="6" t="inlineStr">
        <is>
          <t>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is>
      </c>
      <c r="G142" s="6" t="inlineStr">
        <is>
          <t>Time allowances for the diagnosis and performance of repair work shall be reasonable and adequate for the work to be performed.</t>
        </is>
      </c>
      <c r="H142" s="6" t="inlineStr">
        <is>
          <t>47 O.S. § 565(A)(9)(b)</t>
        </is>
      </c>
      <c r="I142" s="6" t="inlineStr">
        <is>
          <t>Okla. Stat. tit. 47, § 565(A)(9)(b) (Oklahoma Motor Vehicle Commission Act; framed as a license-discipline ground for a 'factory')</t>
        </is>
      </c>
      <c r="J142" s="6" t="inlineStr">
        <is>
          <t>high</t>
        </is>
      </c>
      <c r="K142" s="6" t="inlineStr">
        <is>
          <t>enrolled_act</t>
        </is>
      </c>
      <c r="L142"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3">
      <c r="A143" s="6" t="inlineStr">
        <is>
          <t>OK</t>
        </is>
      </c>
      <c r="B143" s="6" t="inlineStr">
        <is>
          <t>Mfr-backed service contract</t>
        </is>
      </c>
      <c r="C143" s="6" t="inlineStr">
        <is>
          <t>Not addressed</t>
        </is>
      </c>
      <c r="D143" s="6" t="inlineStr">
        <is>
          <t>-</t>
        </is>
      </c>
      <c r="E143" s="6" t="inlineStr"/>
      <c r="F143" s="6" t="inlineStr"/>
      <c r="G143" s="6" t="inlineStr">
        <is>
          <t>adequately and fairly compensate its dealers for labor, parts, and other expenses incurred by the dealer to perform under and comply with manufacturer's warranty agreements and recall repairs</t>
        </is>
      </c>
      <c r="H143" s="6" t="inlineStr">
        <is>
          <t>47 O.S. § 565(A)(9)(b)</t>
        </is>
      </c>
      <c r="I143" s="6" t="inlineStr">
        <is>
          <t>Okla. Stat. tit. 47, § 565(A)(9)(b) (Oklahoma Motor Vehicle Commission Act; framed as a license-discipline ground for a 'factory')</t>
        </is>
      </c>
      <c r="J143" s="6" t="inlineStr">
        <is>
          <t>high</t>
        </is>
      </c>
      <c r="K143" s="6" t="inlineStr">
        <is>
          <t>enrolled_act</t>
        </is>
      </c>
      <c r="L143"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4">
      <c r="A144" s="6" t="inlineStr">
        <is>
          <t>OK</t>
        </is>
      </c>
      <c r="B144" s="6" t="inlineStr">
        <is>
          <t>CPO warranty</t>
        </is>
      </c>
      <c r="C144" s="6" t="inlineStr">
        <is>
          <t>Not addressed</t>
        </is>
      </c>
      <c r="D144" s="6" t="inlineStr">
        <is>
          <t>-</t>
        </is>
      </c>
      <c r="E144" s="6" t="inlineStr"/>
      <c r="F144" s="6" t="inlineStr"/>
      <c r="G144" s="6" t="inlineStr">
        <is>
          <t>adequately and fairly compensate its dealers for labor, parts, and other expenses incurred by the dealer to perform under and comply with manufacturer's warranty agreements and recall repairs</t>
        </is>
      </c>
      <c r="H144" s="6" t="inlineStr">
        <is>
          <t>47 O.S. § 565(A)(9)(b)</t>
        </is>
      </c>
      <c r="I144" s="6" t="inlineStr">
        <is>
          <t>Okla. Stat. tit. 47, § 565(A)(9)(b) (Oklahoma Motor Vehicle Commission Act; framed as a license-discipline ground for a 'factory')</t>
        </is>
      </c>
      <c r="J144" s="6" t="inlineStr">
        <is>
          <t>high</t>
        </is>
      </c>
      <c r="K144" s="6" t="inlineStr">
        <is>
          <t>enrolled_act</t>
        </is>
      </c>
      <c r="L144"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5">
      <c r="A145" s="6" t="inlineStr">
        <is>
          <t>OK</t>
        </is>
      </c>
      <c r="B145" s="6" t="inlineStr">
        <is>
          <t>Independent service contract</t>
        </is>
      </c>
      <c r="C145" s="6" t="inlineStr">
        <is>
          <t>Not addressed</t>
        </is>
      </c>
      <c r="D145" s="6" t="inlineStr">
        <is>
          <t>-</t>
        </is>
      </c>
      <c r="E145" s="6" t="inlineStr"/>
      <c r="F145" s="6" t="inlineStr"/>
      <c r="G145" s="6" t="inlineStr">
        <is>
          <t>adequately and fairly compensate its dealers for labor, parts, and other expenses incurred by the dealer to perform under and comply with manufacturer's warranty agreements and recall repairs</t>
        </is>
      </c>
      <c r="H145" s="6" t="inlineStr">
        <is>
          <t>47 O.S. § 565(A)(9)(b)</t>
        </is>
      </c>
      <c r="I145" s="6" t="inlineStr">
        <is>
          <t>Okla. Stat. tit. 47, § 565(A)(9)(b) (Oklahoma Motor Vehicle Commission Act; framed as a license-discipline ground for a 'factory')</t>
        </is>
      </c>
      <c r="J145" s="6" t="inlineStr">
        <is>
          <t>high</t>
        </is>
      </c>
      <c r="K145" s="6" t="inlineStr">
        <is>
          <t>enrolled_act</t>
        </is>
      </c>
      <c r="L145" s="6" t="inlineStr">
        <is>
          <t>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is>
      </c>
    </row>
    <row r="146">
      <c r="A146" s="6" t="inlineStr">
        <is>
          <t>OR</t>
        </is>
      </c>
      <c r="B146" s="6" t="inlineStr">
        <is>
          <t>Factory warranty</t>
        </is>
      </c>
      <c r="C146" s="6" t="inlineStr">
        <is>
          <t>Required</t>
        </is>
      </c>
      <c r="D146" s="6" t="inlineStr">
        <is>
          <t>Factory time (reasonable/adequate standard where stated)</t>
        </is>
      </c>
      <c r="E146" s="6" t="inlineStr"/>
      <c r="F146" s="6" t="inlineStr">
        <is>
          <t>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is>
      </c>
      <c r="G146" s="6" t="inlineStr">
        <is>
          <t>A manufacturer, distributor or importer shall use time allowances that are reasonable and adequate for a qualified technician to make a diagnosis and perform work or service.</t>
        </is>
      </c>
      <c r="H146" s="6" t="inlineStr">
        <is>
          <t>ORS 650.158(2)(b)(C); see (1)(c), (2)(a)</t>
        </is>
      </c>
      <c r="I146" s="6" t="inlineStr">
        <is>
          <t>Or. Rev. Stat. § 650.158</t>
        </is>
      </c>
      <c r="J146" s="6" t="inlineStr">
        <is>
          <t>high</t>
        </is>
      </c>
      <c r="K146" s="6" t="inlineStr">
        <is>
          <t>official</t>
        </is>
      </c>
      <c r="L146" s="6" t="inlineStr">
        <is>
          <t>https://www.oregonlegislature.gov/bills_laws/ors/ors650.html (2025 edition); enrolled HB 2127: https://olis.oregonlegislature.gov/liz/2025R1/Downloads/MeasureDocument/HB2127</t>
        </is>
      </c>
    </row>
    <row r="147">
      <c r="A147" s="6" t="inlineStr">
        <is>
          <t>OR</t>
        </is>
      </c>
      <c r="B147" s="6" t="inlineStr">
        <is>
          <t>Mfr-backed service contract</t>
        </is>
      </c>
      <c r="C147" s="6" t="inlineStr">
        <is>
          <t>Not addressed</t>
        </is>
      </c>
      <c r="D147" s="6" t="inlineStr">
        <is>
          <t>-</t>
        </is>
      </c>
      <c r="E147" s="6" t="inlineStr"/>
      <c r="F147" s="6" t="inlineStr"/>
      <c r="G147" s="6" t="inlineStr">
        <is>
          <t>A manufacturer, distributor or importer may not pay an hourly rate to a dealer that is less than the rate the dealer charges nonwarranty customers for nonwarranty service and repairs.</t>
        </is>
      </c>
      <c r="H147" s="6" t="inlineStr">
        <is>
          <t>ORS 650.158(2)(a)</t>
        </is>
      </c>
      <c r="I147" s="6" t="inlineStr">
        <is>
          <t>Or. Rev. Stat. § 650.158</t>
        </is>
      </c>
      <c r="J147" s="6" t="inlineStr">
        <is>
          <t>high</t>
        </is>
      </c>
      <c r="K147" s="6" t="inlineStr">
        <is>
          <t>official</t>
        </is>
      </c>
      <c r="L147" s="6" t="inlineStr">
        <is>
          <t>https://www.oregonlegislature.gov/bills_laws/ors/ors650.html (2025 edition); enrolled HB 2127: https://olis.oregonlegislature.gov/liz/2025R1/Downloads/MeasureDocument/HB2127</t>
        </is>
      </c>
    </row>
    <row r="148">
      <c r="A148" s="6" t="inlineStr">
        <is>
          <t>OR</t>
        </is>
      </c>
      <c r="B148" s="6" t="inlineStr">
        <is>
          <t>CPO warranty</t>
        </is>
      </c>
      <c r="C148" s="6" t="inlineStr">
        <is>
          <t>Not addressed</t>
        </is>
      </c>
      <c r="D148" s="6" t="inlineStr">
        <is>
          <t>-</t>
        </is>
      </c>
      <c r="E148" s="6" t="inlineStr"/>
      <c r="F148" s="6" t="inlineStr"/>
      <c r="G148" s="6" t="inlineStr">
        <is>
          <t>A manufacturer, distributor or importer may not pay an hourly rate to a dealer that is less than the rate the dealer charges nonwarranty customers for nonwarranty service and repairs.</t>
        </is>
      </c>
      <c r="H148" s="6" t="inlineStr">
        <is>
          <t>ORS 650.158(2)(a)</t>
        </is>
      </c>
      <c r="I148" s="6" t="inlineStr">
        <is>
          <t>Or. Rev. Stat. § 650.158</t>
        </is>
      </c>
      <c r="J148" s="6" t="inlineStr">
        <is>
          <t>high</t>
        </is>
      </c>
      <c r="K148" s="6" t="inlineStr">
        <is>
          <t>official</t>
        </is>
      </c>
      <c r="L148" s="6" t="inlineStr">
        <is>
          <t>https://www.oregonlegislature.gov/bills_laws/ors/ors650.html (2025 edition); enrolled HB 2127: https://olis.oregonlegislature.gov/liz/2025R1/Downloads/MeasureDocument/HB2127</t>
        </is>
      </c>
    </row>
    <row r="149">
      <c r="A149" s="6" t="inlineStr">
        <is>
          <t>OR</t>
        </is>
      </c>
      <c r="B149" s="6" t="inlineStr">
        <is>
          <t>Independent service contract</t>
        </is>
      </c>
      <c r="C149" s="6" t="inlineStr">
        <is>
          <t>Not addressed</t>
        </is>
      </c>
      <c r="D149" s="6" t="inlineStr">
        <is>
          <t>-</t>
        </is>
      </c>
      <c r="E149" s="6" t="inlineStr"/>
      <c r="F149" s="6" t="inlineStr"/>
      <c r="G149" s="6" t="inlineStr">
        <is>
          <t>The dealer's obligations for predelivery preparation and warranty service on the manufacturer's, distributor's or importer's motor vehicles;</t>
        </is>
      </c>
      <c r="H149" s="6" t="inlineStr">
        <is>
          <t>ORS 650.158(1)(a)</t>
        </is>
      </c>
      <c r="I149" s="6" t="inlineStr">
        <is>
          <t>Or. Rev. Stat. § 650.158</t>
        </is>
      </c>
      <c r="J149" s="6" t="inlineStr">
        <is>
          <t>high</t>
        </is>
      </c>
      <c r="K149" s="6" t="inlineStr">
        <is>
          <t>official</t>
        </is>
      </c>
      <c r="L149" s="6" t="inlineStr">
        <is>
          <t>https://www.oregonlegislature.gov/bills_laws/ors/ors650.html (2025 edition); enrolled HB 2127: https://olis.oregonlegislature.gov/liz/2025R1/Downloads/MeasureDocument/HB2127</t>
        </is>
      </c>
    </row>
    <row r="150">
      <c r="A150" s="6" t="inlineStr">
        <is>
          <t>PA</t>
        </is>
      </c>
      <c r="B150" s="6" t="inlineStr">
        <is>
          <t>Factory warranty</t>
        </is>
      </c>
      <c r="C150" s="6" t="inlineStr">
        <is>
          <t>Required</t>
        </is>
      </c>
      <c r="D150" s="6" t="inlineStr">
        <is>
          <t>Factory time (reasonable/adequate standard where stated)</t>
        </is>
      </c>
      <c r="E150" s="6" t="inlineStr"/>
      <c r="F150" s="6" t="inlineStr">
        <is>
          <t>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is>
      </c>
      <c r="G150" s="6" t="inlineStr">
        <is>
          <t>provide the dealer with a schedule of compensation to be paid the dealer for parts, work and service, and the time allowance for the performance of such work and service.</t>
        </is>
      </c>
      <c r="H150" s="6" t="inlineStr">
        <is>
          <t>§ 307(a)(1); rate: § 307(a)(3)</t>
        </is>
      </c>
      <c r="I150" s="6" t="inlineStr">
        <is>
          <t>Board of Vehicles Act § 307, 63 P.S. § 818.307 (Act of Dec. 22, 1983, P.L. 306, No. 84)</t>
        </is>
      </c>
      <c r="J150" s="6" t="inlineStr">
        <is>
          <t>high</t>
        </is>
      </c>
      <c r="K150" s="6" t="inlineStr">
        <is>
          <t>official</t>
        </is>
      </c>
      <c r="L150" s="6" t="inlineStr">
        <is>
          <t>https://www.legis.state.pa.us/WU01/LI/LI/US/HTM/1983/0/0084..HTM (official unconsolidated statute, reflecting amendments through July 20, 2026, P.L. 549, No. 51)</t>
        </is>
      </c>
    </row>
    <row r="151">
      <c r="A151" s="6" t="inlineStr">
        <is>
          <t>PA</t>
        </is>
      </c>
      <c r="B151" s="6" t="inlineStr">
        <is>
          <t>Mfr-backed service contract</t>
        </is>
      </c>
      <c r="C151" s="6" t="inlineStr">
        <is>
          <t>Conditional</t>
        </is>
      </c>
      <c r="D151" s="6" t="inlineStr">
        <is>
          <t>Statute silent on time / not established</t>
        </is>
      </c>
      <c r="E151" s="6" t="inlineStr"/>
      <c r="F151" s="6" t="inlineStr"/>
      <c r="G151" s="6" t="inlineStr">
        <is>
          <t>Any warranty, recall, service contract or any other required service parts or labor reimbursement claim or incentive or reimbursement program claim filed by the dealer with the manufacturer or distributor</t>
        </is>
      </c>
      <c r="H151" s="6" t="inlineStr">
        <is>
          <t>§ 307(e)(1); see § 310(b)(2)</t>
        </is>
      </c>
      <c r="I151" s="6" t="inlineStr">
        <is>
          <t>Board of Vehicles Act § 307, 63 P.S. § 818.307 (Act of Dec. 22, 1983, P.L. 306, No. 84)</t>
        </is>
      </c>
      <c r="J151" s="6" t="inlineStr">
        <is>
          <t>high</t>
        </is>
      </c>
      <c r="K151" s="6" t="inlineStr">
        <is>
          <t>official</t>
        </is>
      </c>
      <c r="L151" s="6" t="inlineStr">
        <is>
          <t>https://www.legis.state.pa.us/WU01/LI/LI/US/HTM/1983/0/0084..HTM (official unconsolidated statute, reflecting amendments through July 20, 2026, P.L. 549, No. 51)</t>
        </is>
      </c>
    </row>
    <row r="152">
      <c r="A152" s="6" t="inlineStr">
        <is>
          <t>PA</t>
        </is>
      </c>
      <c r="B152" s="6" t="inlineStr">
        <is>
          <t>CPO warranty</t>
        </is>
      </c>
      <c r="C152" s="6" t="inlineStr">
        <is>
          <t>Not addressed</t>
        </is>
      </c>
      <c r="D152" s="6" t="inlineStr">
        <is>
          <t>-</t>
        </is>
      </c>
      <c r="E152" s="6" t="inlineStr"/>
      <c r="F152" s="6" t="inlineStr"/>
      <c r="G152" s="6" t="inlineStr">
        <is>
          <t>Compensation for labor used in warranty service shall be at the dealer's retail rate.</t>
        </is>
      </c>
      <c r="H152" s="6" t="inlineStr">
        <is>
          <t>§ 307(a)(3)</t>
        </is>
      </c>
      <c r="I152" s="6" t="inlineStr">
        <is>
          <t>Board of Vehicles Act § 307, 63 P.S. § 818.307 (Act of Dec. 22, 1983, P.L. 306, No. 84)</t>
        </is>
      </c>
      <c r="J152" s="6" t="inlineStr">
        <is>
          <t>high</t>
        </is>
      </c>
      <c r="K152" s="6" t="inlineStr">
        <is>
          <t>official</t>
        </is>
      </c>
      <c r="L152" s="6" t="inlineStr">
        <is>
          <t>https://www.legis.state.pa.us/WU01/LI/LI/US/HTM/1983/0/0084..HTM (official unconsolidated statute, reflecting amendments through July 20, 2026, P.L. 549, No. 51)</t>
        </is>
      </c>
    </row>
    <row r="153">
      <c r="A153" s="6" t="inlineStr">
        <is>
          <t>PA</t>
        </is>
      </c>
      <c r="B153" s="6" t="inlineStr">
        <is>
          <t>Independent service contract</t>
        </is>
      </c>
      <c r="C153" s="6" t="inlineStr">
        <is>
          <t>Conditional</t>
        </is>
      </c>
      <c r="D153" s="6" t="inlineStr">
        <is>
          <t>Statute silent on time / not established</t>
        </is>
      </c>
      <c r="E153" s="6" t="inlineStr"/>
      <c r="F153" s="6" t="inlineStr"/>
      <c r="G153" s="6" t="inlineStr">
        <is>
          <t>Compensation for labor used in warranty service shall be at the dealer's retail rate.</t>
        </is>
      </c>
      <c r="H153" s="6" t="inlineStr">
        <is>
          <t>§ 307(a)(3)</t>
        </is>
      </c>
      <c r="I153" s="6" t="inlineStr">
        <is>
          <t>Board of Vehicles Act § 307, 63 P.S. § 818.307 (Act of Dec. 22, 1983, P.L. 306, No. 84)</t>
        </is>
      </c>
      <c r="J153" s="6" t="inlineStr">
        <is>
          <t>high</t>
        </is>
      </c>
      <c r="K153" s="6" t="inlineStr">
        <is>
          <t>official</t>
        </is>
      </c>
      <c r="L153" s="6" t="inlineStr">
        <is>
          <t>https://www.legis.state.pa.us/WU01/LI/LI/US/HTM/1983/0/0084..HTM (official unconsolidated statute, reflecting amendments through July 20, 2026, P.L. 549, No. 51)</t>
        </is>
      </c>
    </row>
    <row r="154">
      <c r="A154" s="6" t="inlineStr">
        <is>
          <t>RI</t>
        </is>
      </c>
      <c r="B154" s="6" t="inlineStr">
        <is>
          <t>Factory warranty</t>
        </is>
      </c>
      <c r="C154" s="6" t="inlineStr">
        <is>
          <t>Required</t>
        </is>
      </c>
      <c r="D154" s="6" t="inlineStr">
        <is>
          <t>Actual technician time</t>
        </is>
      </c>
      <c r="E154" s="6" t="inlineStr"/>
      <c r="F154" s="6" t="inlineStr">
        <is>
          <t>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is>
      </c>
      <c r="G154" s="6" t="inlineStr">
        <is>
          <t>Compensation for warranty labor shall equal the dealer's non-warranty labor rate multiplied by the actual time worked by the dealer's technician performing necessary repairs</t>
        </is>
      </c>
      <c r="H154" s="6" t="inlineStr">
        <is>
          <t>§ 31-5.1-6(c) (as amended eff. 10/1/2026)</t>
        </is>
      </c>
      <c r="I154" s="6" t="inlineStr">
        <is>
          <t>R.I. Gen. Laws § 31-5.1-6, as amended by 2026 S 2347 Sub A / H 8213 Sub A (eff. 10/1/2026)</t>
        </is>
      </c>
      <c r="J154" s="6" t="inlineStr">
        <is>
          <t>high</t>
        </is>
      </c>
      <c r="K154" s="6" t="inlineStr">
        <is>
          <t>enrolled_act</t>
        </is>
      </c>
      <c r="L154" s="6" t="inlineStr">
        <is>
          <t>https://webserver.rilegislature.gov/BillText/BillText26/SenateText26/S2347A.pdf (enacted Sub A text; strike and underline markup read from the PDF). Pre-amendment codified text: https://webserver.rilegislature.gov/Statutes/TITLE31/31-5.1/31-5.1-6.htm</t>
        </is>
      </c>
    </row>
    <row r="155">
      <c r="A155" s="6" t="inlineStr">
        <is>
          <t>RI</t>
        </is>
      </c>
      <c r="B155" s="6" t="inlineStr">
        <is>
          <t>Mfr-backed service contract</t>
        </is>
      </c>
      <c r="C155" s="6" t="inlineStr">
        <is>
          <t>Not addressed</t>
        </is>
      </c>
      <c r="D155" s="6" t="inlineStr">
        <is>
          <t>-</t>
        </is>
      </c>
      <c r="E155" s="6" t="inlineStr"/>
      <c r="F155" s="6" t="inlineStr"/>
      <c r="G155" s="6" t="inlineStr">
        <is>
          <t>Every manufacturer, distributor or factory branch shall properly fulfill any warranty agreement and adequately and fairly compensate each of its motor vehicle dealers for labor and parts.</t>
        </is>
      </c>
      <c r="H155" s="6" t="inlineStr">
        <is>
          <t>§ 31-5.1-6(a)</t>
        </is>
      </c>
      <c r="I155" s="6" t="inlineStr">
        <is>
          <t>R.I. Gen. Laws § 31-5.1-6, as amended by 2026 S 2347 Sub A / H 8213 Sub A (eff. 10/1/2026)</t>
        </is>
      </c>
      <c r="J155" s="6" t="inlineStr">
        <is>
          <t>high</t>
        </is>
      </c>
      <c r="K155" s="6" t="inlineStr">
        <is>
          <t>enrolled_act</t>
        </is>
      </c>
      <c r="L155" s="6" t="inlineStr">
        <is>
          <t>https://webserver.rilegislature.gov/BillText/BillText26/SenateText26/S2347A.pdf (enacted Sub A text; strike and underline markup read from the PDF). Pre-amendment codified text: https://webserver.rilegislature.gov/Statutes/TITLE31/31-5.1/31-5.1-6.htm</t>
        </is>
      </c>
    </row>
    <row r="156">
      <c r="A156" s="6" t="inlineStr">
        <is>
          <t>RI</t>
        </is>
      </c>
      <c r="B156" s="6" t="inlineStr">
        <is>
          <t>CPO warranty</t>
        </is>
      </c>
      <c r="C156" s="6" t="inlineStr">
        <is>
          <t>Required</t>
        </is>
      </c>
      <c r="D156" s="6" t="inlineStr">
        <is>
          <t>Actual technician time</t>
        </is>
      </c>
      <c r="E156" s="6" t="inlineStr"/>
      <c r="F156" s="6" t="inlineStr"/>
      <c r="G156" s="6" t="inlineStr">
        <is>
          <t>certified pre-owned warranty or recall that is issued by the manufacturer, distributor, factory branch, common entity, or agent of the manufacturer, distributor, or factory branch work shall be at the dealer retail rate</t>
        </is>
      </c>
      <c r="H156" s="6" t="inlineStr">
        <is>
          <t>§ 31-5.1-6(a) (as amended eff. 10/1/2026)</t>
        </is>
      </c>
      <c r="I156" s="6" t="inlineStr">
        <is>
          <t>R.I. Gen. Laws § 31-5.1-6, as amended by 2026 S 2347 Sub A / H 8213 Sub A (eff. 10/1/2026)</t>
        </is>
      </c>
      <c r="J156" s="6" t="inlineStr">
        <is>
          <t>high</t>
        </is>
      </c>
      <c r="K156" s="6" t="inlineStr">
        <is>
          <t>enrolled_act</t>
        </is>
      </c>
      <c r="L156" s="6" t="inlineStr">
        <is>
          <t>https://webserver.rilegislature.gov/BillText/BillText26/SenateText26/S2347A.pdf (enacted Sub A text; strike and underline markup read from the PDF). Pre-amendment codified text: https://webserver.rilegislature.gov/Statutes/TITLE31/31-5.1/31-5.1-6.htm</t>
        </is>
      </c>
    </row>
    <row r="157">
      <c r="A157" s="6" t="inlineStr">
        <is>
          <t>RI</t>
        </is>
      </c>
      <c r="B157" s="6" t="inlineStr">
        <is>
          <t>Independent service contract</t>
        </is>
      </c>
      <c r="C157" s="6" t="inlineStr">
        <is>
          <t>Not addressed</t>
        </is>
      </c>
      <c r="D157" s="6" t="inlineStr">
        <is>
          <t>-</t>
        </is>
      </c>
      <c r="E157" s="6" t="inlineStr"/>
      <c r="F157" s="6" t="inlineStr"/>
      <c r="G157" s="6" t="inlineStr">
        <is>
          <t>Every manufacturer, distributor or factory branch shall properly fulfill any warranty agreement and adequately and fairly compensate each of its motor vehicle dealers for labor and parts.</t>
        </is>
      </c>
      <c r="H157" s="6" t="inlineStr">
        <is>
          <t>§ 31-5.1-6(a)</t>
        </is>
      </c>
      <c r="I157" s="6" t="inlineStr">
        <is>
          <t>R.I. Gen. Laws § 31-5.1-6, as amended by 2026 S 2347 Sub A / H 8213 Sub A (eff. 10/1/2026)</t>
        </is>
      </c>
      <c r="J157" s="6" t="inlineStr">
        <is>
          <t>high</t>
        </is>
      </c>
      <c r="K157" s="6" t="inlineStr">
        <is>
          <t>enrolled_act</t>
        </is>
      </c>
      <c r="L157" s="6" t="inlineStr">
        <is>
          <t>https://webserver.rilegislature.gov/BillText/BillText26/SenateText26/S2347A.pdf (enacted Sub A text; strike and underline markup read from the PDF). Pre-amendment codified text: https://webserver.rilegislature.gov/Statutes/TITLE31/31-5.1/31-5.1-6.htm</t>
        </is>
      </c>
    </row>
    <row r="158">
      <c r="A158" s="6" t="inlineStr">
        <is>
          <t>SC</t>
        </is>
      </c>
      <c r="B158" s="6" t="inlineStr">
        <is>
          <t>Factory warranty</t>
        </is>
      </c>
      <c r="C158" s="6" t="inlineStr">
        <is>
          <t>Required</t>
        </is>
      </c>
      <c r="D158" s="6" t="inlineStr">
        <is>
          <t>Statute silent on time / not established</t>
        </is>
      </c>
      <c r="E158" s="6" t="inlineStr"/>
      <c r="F158" s="6" t="inlineStr">
        <is>
          <t>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is>
      </c>
      <c r="G158" s="6" t="inlineStr">
        <is>
          <t>reasonable compensation shall not be less than the rate charged by the dealer for like services to nonwarranty customers for nonwarranty parts, service, and repairs if the dealer has submitted a request for retail reimbursement</t>
        </is>
      </c>
      <c r="H158" s="6" t="inlineStr">
        <is>
          <t>§ 56-15-60(C)(1)</t>
        </is>
      </c>
      <c r="I158" s="6" t="inlineStr">
        <is>
          <t>S.C. Code Ann. § 56-15-60</t>
        </is>
      </c>
      <c r="J158" s="6" t="inlineStr">
        <is>
          <t>high</t>
        </is>
      </c>
      <c r="K158" s="6" t="inlineStr">
        <is>
          <t>official</t>
        </is>
      </c>
      <c r="L158" s="6" t="inlineStr">
        <is>
          <t>https://www.scstatehouse.gov/code/t56c015.php</t>
        </is>
      </c>
    </row>
    <row r="159">
      <c r="A159" s="6" t="inlineStr">
        <is>
          <t>SC</t>
        </is>
      </c>
      <c r="B159" s="6" t="inlineStr">
        <is>
          <t>Mfr-backed service contract</t>
        </is>
      </c>
      <c r="C159" s="6" t="inlineStr">
        <is>
          <t>Not addressed</t>
        </is>
      </c>
      <c r="D159" s="6" t="inlineStr">
        <is>
          <t>-</t>
        </is>
      </c>
      <c r="E159" s="6" t="inlineStr"/>
      <c r="F159" s="6" t="inlineStr"/>
      <c r="G159" s="6" t="inlineStr">
        <is>
          <t>The manufacturer or distributor shall compensate the dealer for the warranty services the manufacturer or distributor requires the dealer to provide</t>
        </is>
      </c>
      <c r="H159" s="6" t="inlineStr">
        <is>
          <t>§ 56-15-60(B)</t>
        </is>
      </c>
      <c r="I159" s="6" t="inlineStr">
        <is>
          <t>S.C. Code Ann. § 56-15-60</t>
        </is>
      </c>
      <c r="J159" s="6" t="inlineStr">
        <is>
          <t>high</t>
        </is>
      </c>
      <c r="K159" s="6" t="inlineStr">
        <is>
          <t>official</t>
        </is>
      </c>
      <c r="L159" s="6" t="inlineStr">
        <is>
          <t>https://www.scstatehouse.gov/code/t56c015.php</t>
        </is>
      </c>
    </row>
    <row r="160">
      <c r="A160" s="6" t="inlineStr">
        <is>
          <t>SC</t>
        </is>
      </c>
      <c r="B160" s="6" t="inlineStr">
        <is>
          <t>CPO warranty</t>
        </is>
      </c>
      <c r="C160" s="6" t="inlineStr">
        <is>
          <t>Not addressed</t>
        </is>
      </c>
      <c r="D160" s="6" t="inlineStr">
        <is>
          <t>-</t>
        </is>
      </c>
      <c r="E160" s="6" t="inlineStr"/>
      <c r="F160" s="6" t="inlineStr"/>
      <c r="G160" s="6" t="inlineStr">
        <is>
          <t>The manufacturer or distributor shall compensate the dealer for the warranty services the manufacturer or distributor requires the dealer to provide</t>
        </is>
      </c>
      <c r="H160" s="6" t="inlineStr">
        <is>
          <t>§ 56-15-60(B)</t>
        </is>
      </c>
      <c r="I160" s="6" t="inlineStr">
        <is>
          <t>S.C. Code Ann. § 56-15-60</t>
        </is>
      </c>
      <c r="J160" s="6" t="inlineStr">
        <is>
          <t>high</t>
        </is>
      </c>
      <c r="K160" s="6" t="inlineStr">
        <is>
          <t>official</t>
        </is>
      </c>
      <c r="L160" s="6" t="inlineStr">
        <is>
          <t>https://www.scstatehouse.gov/code/t56c015.php</t>
        </is>
      </c>
    </row>
    <row r="161">
      <c r="A161" s="6" t="inlineStr">
        <is>
          <t>SC</t>
        </is>
      </c>
      <c r="B161" s="6" t="inlineStr">
        <is>
          <t>Independent service contract</t>
        </is>
      </c>
      <c r="C161" s="6" t="inlineStr">
        <is>
          <t>Not addressed</t>
        </is>
      </c>
      <c r="D161" s="6" t="inlineStr">
        <is>
          <t>-</t>
        </is>
      </c>
      <c r="E161" s="6" t="inlineStr"/>
      <c r="F161" s="6" t="inlineStr"/>
      <c r="G161" s="6" t="inlineStr">
        <is>
          <t>The manufacturer or distributor shall compensate the dealer for the warranty services the manufacturer or distributor requires the dealer to provide</t>
        </is>
      </c>
      <c r="H161" s="6" t="inlineStr">
        <is>
          <t>§ 56-15-60(B)</t>
        </is>
      </c>
      <c r="I161" s="6" t="inlineStr">
        <is>
          <t>S.C. Code Ann. § 56-15-60</t>
        </is>
      </c>
      <c r="J161" s="6" t="inlineStr">
        <is>
          <t>high</t>
        </is>
      </c>
      <c r="K161" s="6" t="inlineStr">
        <is>
          <t>official</t>
        </is>
      </c>
      <c r="L161" s="6" t="inlineStr">
        <is>
          <t>https://www.scstatehouse.gov/code/t56c015.php</t>
        </is>
      </c>
    </row>
    <row r="162">
      <c r="A162" s="6" t="inlineStr">
        <is>
          <t>SD</t>
        </is>
      </c>
      <c r="B162" s="6" t="inlineStr">
        <is>
          <t>Factory warranty</t>
        </is>
      </c>
      <c r="C162" s="6" t="inlineStr">
        <is>
          <t>Required</t>
        </is>
      </c>
      <c r="D162" s="6" t="inlineStr">
        <is>
          <t>Factory time (reasonable/adequate standard where stated)</t>
        </is>
      </c>
      <c r="E162" s="6" t="inlineStr"/>
      <c r="F162" s="6" t="inlineStr">
        <is>
          <t>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is>
      </c>
      <c r="G162" s="6" t="inlineStr">
        <is>
          <t>Time allowances for diagnosis and performance of warranty work and service shall be adequate for the work to be performed. The hourly labor rate paid to the dealer for warranty services may not be less than the rate charged…</t>
        </is>
      </c>
      <c r="H162" s="6" t="inlineStr">
        <is>
          <t>§ 32-6B-61</t>
        </is>
      </c>
      <c r="I162" s="6" t="inlineStr">
        <is>
          <t>S.D. Codified Laws §§ 32-6B-58, 32-6B-61</t>
        </is>
      </c>
      <c r="J162" s="6" t="inlineStr">
        <is>
          <t>high</t>
        </is>
      </c>
      <c r="K162" s="6" t="inlineStr">
        <is>
          <t>official</t>
        </is>
      </c>
      <c r="L162" s="6" t="inlineStr">
        <is>
          <t>https://sdlegislature.gov/Statutes/32-6B-61 (read via official API https://sdlegislature.gov/api/Statutes/32-6B.html?all=true)</t>
        </is>
      </c>
    </row>
    <row r="163">
      <c r="A163" s="6" t="inlineStr">
        <is>
          <t>SD</t>
        </is>
      </c>
      <c r="B163" s="6" t="inlineStr">
        <is>
          <t>Mfr-backed service contract</t>
        </is>
      </c>
      <c r="C163" s="6" t="inlineStr">
        <is>
          <t>Not addressed</t>
        </is>
      </c>
      <c r="D163" s="6" t="inlineStr">
        <is>
          <t>-</t>
        </is>
      </c>
      <c r="E163" s="6" t="inlineStr"/>
      <c r="F163" s="6" t="inlineStr"/>
      <c r="G163" s="6" t="inlineStr">
        <is>
          <t>Every franchisor, component manufacturer, or manufacturer shall properly fulfill any warranty agreement and compensate, as set forth in § 32-6B-61, each of its vehicle dealers for labor and parts.</t>
        </is>
      </c>
      <c r="H163" s="6" t="inlineStr">
        <is>
          <t>§ 32-6B-58</t>
        </is>
      </c>
      <c r="I163" s="6" t="inlineStr">
        <is>
          <t>S.D. Codified Laws §§ 32-6B-58, 32-6B-61</t>
        </is>
      </c>
      <c r="J163" s="6" t="inlineStr">
        <is>
          <t>high</t>
        </is>
      </c>
      <c r="K163" s="6" t="inlineStr">
        <is>
          <t>official</t>
        </is>
      </c>
      <c r="L163" s="6" t="inlineStr">
        <is>
          <t>https://sdlegislature.gov/Statutes/32-6B-61 (read via official API https://sdlegislature.gov/api/Statutes/32-6B.html?all=true)</t>
        </is>
      </c>
    </row>
    <row r="164">
      <c r="A164" s="6" t="inlineStr">
        <is>
          <t>SD</t>
        </is>
      </c>
      <c r="B164" s="6" t="inlineStr">
        <is>
          <t>CPO warranty</t>
        </is>
      </c>
      <c r="C164" s="6" t="inlineStr">
        <is>
          <t>Not addressed</t>
        </is>
      </c>
      <c r="D164" s="6" t="inlineStr">
        <is>
          <t>-</t>
        </is>
      </c>
      <c r="E164" s="6" t="inlineStr"/>
      <c r="F164" s="6" t="inlineStr"/>
      <c r="G164" s="6" t="inlineStr">
        <is>
          <t>Every franchisor, component manufacturer, or manufacturer shall properly fulfill any warranty agreement and compensate, as set forth in § 32-6B-61, each of its vehicle dealers for labor and parts.</t>
        </is>
      </c>
      <c r="H164" s="6" t="inlineStr">
        <is>
          <t>§ 32-6B-58</t>
        </is>
      </c>
      <c r="I164" s="6" t="inlineStr">
        <is>
          <t>S.D. Codified Laws §§ 32-6B-58, 32-6B-61</t>
        </is>
      </c>
      <c r="J164" s="6" t="inlineStr">
        <is>
          <t>high</t>
        </is>
      </c>
      <c r="K164" s="6" t="inlineStr">
        <is>
          <t>official</t>
        </is>
      </c>
      <c r="L164" s="6" t="inlineStr">
        <is>
          <t>https://sdlegislature.gov/Statutes/32-6B-61 (read via official API https://sdlegislature.gov/api/Statutes/32-6B.html?all=true)</t>
        </is>
      </c>
    </row>
    <row r="165">
      <c r="A165" s="6" t="inlineStr">
        <is>
          <t>SD</t>
        </is>
      </c>
      <c r="B165" s="6" t="inlineStr">
        <is>
          <t>Independent service contract</t>
        </is>
      </c>
      <c r="C165" s="6" t="inlineStr">
        <is>
          <t>Not addressed</t>
        </is>
      </c>
      <c r="D165" s="6" t="inlineStr">
        <is>
          <t>-</t>
        </is>
      </c>
      <c r="E165" s="6" t="inlineStr"/>
      <c r="F165" s="6" t="inlineStr"/>
      <c r="G165" s="6" t="inlineStr">
        <is>
          <t>The schedule of compensation for warranty work shall include reasonable compensation for diagnostic work, as well as repair service, parts, and labor.</t>
        </is>
      </c>
      <c r="H165" s="6" t="inlineStr">
        <is>
          <t>§ 32-6B-61</t>
        </is>
      </c>
      <c r="I165" s="6" t="inlineStr">
        <is>
          <t>S.D. Codified Laws §§ 32-6B-58, 32-6B-61</t>
        </is>
      </c>
      <c r="J165" s="6" t="inlineStr">
        <is>
          <t>high</t>
        </is>
      </c>
      <c r="K165" s="6" t="inlineStr">
        <is>
          <t>official</t>
        </is>
      </c>
      <c r="L165" s="6" t="inlineStr">
        <is>
          <t>https://sdlegislature.gov/Statutes/32-6B-61 (read via official API https://sdlegislature.gov/api/Statutes/32-6B.html?all=true)</t>
        </is>
      </c>
    </row>
    <row r="166">
      <c r="A166" s="6" t="inlineStr">
        <is>
          <t>TN</t>
        </is>
      </c>
      <c r="B166" s="6" t="inlineStr">
        <is>
          <t>Factory warranty</t>
        </is>
      </c>
      <c r="C166" s="6" t="inlineStr">
        <is>
          <t>Required</t>
        </is>
      </c>
      <c r="D166" s="6" t="inlineStr">
        <is>
          <t>Factory time (reasonable/adequate standard where stated)</t>
        </is>
      </c>
      <c r="E166" s="6" t="inlineStr"/>
      <c r="F166" s="6" t="inlineStr">
        <is>
          <t>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is>
      </c>
      <c r="G166" s="6" t="inlineStr">
        <is>
          <t>In no event shall a manufacturer or distributor pay to its dealers a labor rate per hour for warranty repairs or servicing less than the dealer's retail labor rate for similar repairs</t>
        </is>
      </c>
      <c r="H166" s="6" t="inlineStr">
        <is>
          <t>§ 55-17-121(b); paid hours: Tenn. Comp. R. &amp; Regs. 0960-01-.04</t>
        </is>
      </c>
      <c r="I166" s="6" t="inlineStr">
        <is>
          <t>Tenn. Code Ann. § 55-17-121</t>
        </is>
      </c>
      <c r="J166" s="6" t="inlineStr">
        <is>
          <t>medium</t>
        </is>
      </c>
      <c r="K166" s="6" t="inlineStr">
        <is>
          <t>mirror</t>
        </is>
      </c>
      <c r="L166"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7">
      <c r="A167" s="6" t="inlineStr">
        <is>
          <t>TN</t>
        </is>
      </c>
      <c r="B167" s="6" t="inlineStr">
        <is>
          <t>Mfr-backed service contract</t>
        </is>
      </c>
      <c r="C167" s="6" t="inlineStr">
        <is>
          <t>Not addressed</t>
        </is>
      </c>
      <c r="D167" s="6" t="inlineStr">
        <is>
          <t>-</t>
        </is>
      </c>
      <c r="E167" s="6" t="inlineStr"/>
      <c r="F167" s="6" t="inlineStr"/>
      <c r="G167" s="6" t="inlineStr">
        <is>
          <t>The manufacturer or distributor shall compensate the dealer for the warranty services the manufacturer or distributor requires the dealer to provide, including warranty and recall obligations related to repairing and servicing motor vehicles</t>
        </is>
      </c>
      <c r="H167" s="6" t="inlineStr">
        <is>
          <t>§ 55-17-121(d)(1)</t>
        </is>
      </c>
      <c r="I167" s="6" t="inlineStr">
        <is>
          <t>Tenn. Code Ann. § 55-17-121</t>
        </is>
      </c>
      <c r="J167" s="6" t="inlineStr">
        <is>
          <t>medium</t>
        </is>
      </c>
      <c r="K167" s="6" t="inlineStr">
        <is>
          <t>mirror</t>
        </is>
      </c>
      <c r="L167"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8">
      <c r="A168" s="6" t="inlineStr">
        <is>
          <t>TN</t>
        </is>
      </c>
      <c r="B168" s="6" t="inlineStr">
        <is>
          <t>CPO warranty</t>
        </is>
      </c>
      <c r="C168" s="6" t="inlineStr">
        <is>
          <t>Not addressed</t>
        </is>
      </c>
      <c r="D168" s="6" t="inlineStr">
        <is>
          <t>-</t>
        </is>
      </c>
      <c r="E168" s="6" t="inlineStr"/>
      <c r="F168" s="6" t="inlineStr"/>
      <c r="G168" s="6" t="inlineStr">
        <is>
          <t>a schedule of compensation that specifies reasonable compensation the manufacturer or distributor will pay to the dealer for such recalls and warranty services, including for parts and diagnostics.</t>
        </is>
      </c>
      <c r="H168" s="6" t="inlineStr">
        <is>
          <t>§ 55-17-121(d)(2)(A)</t>
        </is>
      </c>
      <c r="I168" s="6" t="inlineStr">
        <is>
          <t>Tenn. Code Ann. § 55-17-121</t>
        </is>
      </c>
      <c r="J168" s="6" t="inlineStr">
        <is>
          <t>medium</t>
        </is>
      </c>
      <c r="K168" s="6" t="inlineStr">
        <is>
          <t>mirror</t>
        </is>
      </c>
      <c r="L168"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69">
      <c r="A169" s="6" t="inlineStr">
        <is>
          <t>TN</t>
        </is>
      </c>
      <c r="B169" s="6" t="inlineStr">
        <is>
          <t>Independent service contract</t>
        </is>
      </c>
      <c r="C169" s="6" t="inlineStr">
        <is>
          <t>Not addressed</t>
        </is>
      </c>
      <c r="D169" s="6" t="inlineStr">
        <is>
          <t>-</t>
        </is>
      </c>
      <c r="E169" s="6" t="inlineStr"/>
      <c r="F169" s="6" t="inlineStr"/>
      <c r="G169" s="6" t="inlineStr">
        <is>
          <t>No motor vehicle dealer shall charge the manufacturer or distributor a labor rate per hour for warranty work in excess of its posted retail labor rate.</t>
        </is>
      </c>
      <c r="H169" s="6" t="inlineStr">
        <is>
          <t>§ 55-17-121(c)</t>
        </is>
      </c>
      <c r="I169" s="6" t="inlineStr">
        <is>
          <t>Tenn. Code Ann. § 55-17-121</t>
        </is>
      </c>
      <c r="J169" s="6" t="inlineStr">
        <is>
          <t>medium</t>
        </is>
      </c>
      <c r="K169" s="6" t="inlineStr">
        <is>
          <t>mirror</t>
        </is>
      </c>
      <c r="L169" s="6" t="inlineStr">
        <is>
          <t>Mirror: https://law.justia.com/codes/tennessee/2025/title-55/chapter-17/part-1/section-55-17-121/ (checked against FindLaw, current as of Jan. 2, 2024). The official T.C.A. is published only by LexisNexis (https://www.lexisnexis.com/hottopics/tncode/), and its session-law PDF returned 403.</t>
        </is>
      </c>
    </row>
    <row r="170">
      <c r="A170" s="6" t="inlineStr">
        <is>
          <t>TX</t>
        </is>
      </c>
      <c r="B170" s="6" t="inlineStr">
        <is>
          <t>Factory warranty</t>
        </is>
      </c>
      <c r="C170" s="6" t="inlineStr">
        <is>
          <t>Required</t>
        </is>
      </c>
      <c r="D170" s="6" t="inlineStr">
        <is>
          <t>Statute silent on time / not established</t>
        </is>
      </c>
      <c r="E170" s="6" t="inlineStr"/>
      <c r="F170" s="6" t="inlineStr">
        <is>
          <t>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is>
      </c>
      <c r="G170" s="6" t="inlineStr">
        <is>
          <t>A manufacturer or distributor may not pay or reimburse a dealer an amount of money for warranty work that is less than the amount the dealer charges a retail customer for similar nonwarranty work.</t>
        </is>
      </c>
      <c r="H170" s="6" t="inlineStr">
        <is>
          <t>§ 2301.402(b)</t>
        </is>
      </c>
      <c r="I170" s="6" t="inlineStr">
        <is>
          <t>Tex. Occ. Code §§ 2301.401–.406 (rate: § 2301.402)</t>
        </is>
      </c>
      <c r="J170" s="6" t="inlineStr">
        <is>
          <t>high</t>
        </is>
      </c>
      <c r="K170" s="6" t="inlineStr">
        <is>
          <t>official</t>
        </is>
      </c>
      <c r="L170" s="6" t="inlineStr">
        <is>
          <t>https://statutes.capitol.texas.gov/Docs/OC/htm/OC.2301.htm (JavaScript app; I read the Legislature's own file server copy at https://tcss.legis.texas.gov/resources/OC/htm/OC.2301.htm, last modified Apr. 10, 2026)</t>
        </is>
      </c>
    </row>
    <row r="171">
      <c r="A171" s="6" t="inlineStr">
        <is>
          <t>TX</t>
        </is>
      </c>
      <c r="B171" s="6" t="inlineStr">
        <is>
          <t>Mfr-backed service contract</t>
        </is>
      </c>
      <c r="C171" s="6" t="inlineStr">
        <is>
          <t>Not addressed</t>
        </is>
      </c>
      <c r="D171" s="6" t="inlineStr">
        <is>
          <t>-</t>
        </is>
      </c>
      <c r="E171" s="6" t="inlineStr"/>
      <c r="F171" s="6" t="inlineStr"/>
      <c r="G171" s="6" t="inlineStr">
        <is>
          <t>A manufacturer or distributor shall fairly and adequately compensate its dealers for warranty work.</t>
        </is>
      </c>
      <c r="H171" s="6" t="inlineStr">
        <is>
          <t>§ 2301.402(a)</t>
        </is>
      </c>
      <c r="I171" s="6" t="inlineStr">
        <is>
          <t>Tex. Occ. Code §§ 2301.401–.406 (rate: § 2301.402)</t>
        </is>
      </c>
      <c r="J171" s="6" t="inlineStr">
        <is>
          <t>high</t>
        </is>
      </c>
      <c r="K171" s="6" t="inlineStr">
        <is>
          <t>official</t>
        </is>
      </c>
      <c r="L171" s="6" t="inlineStr">
        <is>
          <t>https://statutes.capitol.texas.gov/Docs/OC/htm/OC.2301.htm (JavaScript app; I read the Legislature's own file server copy at https://tcss.legis.texas.gov/resources/OC/htm/OC.2301.htm, last modified Apr. 10, 2026)</t>
        </is>
      </c>
    </row>
    <row r="172">
      <c r="A172" s="6" t="inlineStr">
        <is>
          <t>TX</t>
        </is>
      </c>
      <c r="B172" s="6" t="inlineStr">
        <is>
          <t>CPO warranty</t>
        </is>
      </c>
      <c r="C172" s="6" t="inlineStr">
        <is>
          <t>Not addressed</t>
        </is>
      </c>
      <c r="D172" s="6" t="inlineStr">
        <is>
          <t>-</t>
        </is>
      </c>
      <c r="E172" s="6" t="inlineStr"/>
      <c r="F172" s="6" t="inlineStr"/>
      <c r="G172" s="6" t="inlineStr">
        <is>
          <t>A manufacturer or distributor shall fairly and adequately compensate its dealers for warranty work.</t>
        </is>
      </c>
      <c r="H172" s="6" t="inlineStr">
        <is>
          <t>§ 2301.402(a)</t>
        </is>
      </c>
      <c r="I172" s="6" t="inlineStr">
        <is>
          <t>Tex. Occ. Code §§ 2301.401–.406 (rate: § 2301.402)</t>
        </is>
      </c>
      <c r="J172" s="6" t="inlineStr">
        <is>
          <t>high</t>
        </is>
      </c>
      <c r="K172" s="6" t="inlineStr">
        <is>
          <t>official</t>
        </is>
      </c>
      <c r="L172" s="6" t="inlineStr">
        <is>
          <t>https://statutes.capitol.texas.gov/Docs/OC/htm/OC.2301.htm (JavaScript app; I read the Legislature's own file server copy at https://tcss.legis.texas.gov/resources/OC/htm/OC.2301.htm, last modified Apr. 10, 2026)</t>
        </is>
      </c>
    </row>
    <row r="173">
      <c r="A173" s="6" t="inlineStr">
        <is>
          <t>TX</t>
        </is>
      </c>
      <c r="B173" s="6" t="inlineStr">
        <is>
          <t>Independent service contract</t>
        </is>
      </c>
      <c r="C173" s="6" t="inlineStr">
        <is>
          <t>Not addressed</t>
        </is>
      </c>
      <c r="D173" s="6" t="inlineStr">
        <is>
          <t>-</t>
        </is>
      </c>
      <c r="E173" s="6" t="inlineStr"/>
      <c r="F173" s="6" t="inlineStr"/>
      <c r="G173" s="6" t="inlineStr">
        <is>
          <t>duties under the manufacturer's or distributor's warranty; and (2) vehicle preparation and delivery obligations.</t>
        </is>
      </c>
      <c r="H173" s="6" t="inlineStr">
        <is>
          <t>§ 2301.401(a)(1)–(2)</t>
        </is>
      </c>
      <c r="I173" s="6" t="inlineStr">
        <is>
          <t>Tex. Occ. Code §§ 2301.401–.406 (rate: § 2301.402)</t>
        </is>
      </c>
      <c r="J173" s="6" t="inlineStr">
        <is>
          <t>high</t>
        </is>
      </c>
      <c r="K173" s="6" t="inlineStr">
        <is>
          <t>official</t>
        </is>
      </c>
      <c r="L173" s="6" t="inlineStr">
        <is>
          <t>https://statutes.capitol.texas.gov/Docs/OC/htm/OC.2301.htm (JavaScript app; I read the Legislature's own file server copy at https://tcss.legis.texas.gov/resources/OC/htm/OC.2301.htm, last modified Apr. 10, 2026)</t>
        </is>
      </c>
    </row>
    <row r="174">
      <c r="A174" s="6" t="inlineStr">
        <is>
          <t>UT</t>
        </is>
      </c>
      <c r="B174" s="6" t="inlineStr">
        <is>
          <t>Factory warranty</t>
        </is>
      </c>
      <c r="C174" s="6" t="inlineStr">
        <is>
          <t>Required</t>
        </is>
      </c>
      <c r="D174" s="6" t="inlineStr">
        <is>
          <t>Factory time (reasonable/adequate standard where stated)</t>
        </is>
      </c>
      <c r="E174" s="6" t="inlineStr"/>
      <c r="F174" s="6" t="inlineStr">
        <is>
          <t>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is>
      </c>
      <c r="G174" s="6" t="inlineStr">
        <is>
          <t>Time allowances described in Subsection (1) for the diagnosis and performance of warranty work and service shall be reasonable and adequate for the work to be performed.</t>
        </is>
      </c>
      <c r="H174" s="6" t="inlineStr">
        <is>
          <t>§ 13-14-204(2)(b); see (1)(c)</t>
        </is>
      </c>
      <c r="I174" s="6" t="inlineStr">
        <is>
          <t>Utah Code § 13-14-204</t>
        </is>
      </c>
      <c r="J174" s="6" t="inlineStr">
        <is>
          <t>high</t>
        </is>
      </c>
      <c r="K174" s="6" t="inlineStr">
        <is>
          <t>official</t>
        </is>
      </c>
      <c r="L174" s="6" t="inlineStr">
        <is>
          <t>https://le.utah.gov/xcode/Title13/Chapter14/13-14-S204.html (version effective 5/3/2023; chapter PDF C13-14_1800010118000101.pdf also checked)</t>
        </is>
      </c>
    </row>
    <row r="175">
      <c r="A175" s="6" t="inlineStr">
        <is>
          <t>UT</t>
        </is>
      </c>
      <c r="B175" s="6" t="inlineStr">
        <is>
          <t>Mfr-backed service contract</t>
        </is>
      </c>
      <c r="C175" s="6" t="inlineStr">
        <is>
          <t>Not addressed</t>
        </is>
      </c>
      <c r="D175" s="6" t="inlineStr">
        <is>
          <t>-</t>
        </is>
      </c>
      <c r="E175" s="6" t="inlineStr"/>
      <c r="F175" s="6" t="inlineStr"/>
      <c r="G175" s="6" t="inlineStr">
        <is>
          <t>Reasonable compensation of the franchisee for parts and service in warranty or recall repair work may not be less than the rates charged by the franchisee for like parts and service to retail customers.</t>
        </is>
      </c>
      <c r="H175" s="6" t="inlineStr">
        <is>
          <t>§ 13-14-204(3)(b)(i)</t>
        </is>
      </c>
      <c r="I175" s="6" t="inlineStr">
        <is>
          <t>Utah Code § 13-14-204</t>
        </is>
      </c>
      <c r="J175" s="6" t="inlineStr">
        <is>
          <t>high</t>
        </is>
      </c>
      <c r="K175" s="6" t="inlineStr">
        <is>
          <t>official</t>
        </is>
      </c>
      <c r="L175" s="6" t="inlineStr">
        <is>
          <t>https://le.utah.gov/xcode/Title13/Chapter14/13-14-S204.html (version effective 5/3/2023; chapter PDF C13-14_1800010118000101.pdf also checked)</t>
        </is>
      </c>
    </row>
    <row r="176">
      <c r="A176" s="6" t="inlineStr">
        <is>
          <t>UT</t>
        </is>
      </c>
      <c r="B176" s="6" t="inlineStr">
        <is>
          <t>CPO warranty</t>
        </is>
      </c>
      <c r="C176" s="6" t="inlineStr">
        <is>
          <t>Not addressed</t>
        </is>
      </c>
      <c r="D176" s="6" t="inlineStr">
        <is>
          <t>-</t>
        </is>
      </c>
      <c r="E176" s="6" t="inlineStr"/>
      <c r="F176" s="6" t="inlineStr"/>
      <c r="G176" s="6" t="inlineStr">
        <is>
          <t>Reasonable compensation of the franchisee for parts and service in warranty or recall repair work may not be less than the rates charged by the franchisee for like parts and service to retail customers.</t>
        </is>
      </c>
      <c r="H176" s="6" t="inlineStr">
        <is>
          <t>§ 13-14-204(3)(b)(i)</t>
        </is>
      </c>
      <c r="I176" s="6" t="inlineStr">
        <is>
          <t>Utah Code § 13-14-204</t>
        </is>
      </c>
      <c r="J176" s="6" t="inlineStr">
        <is>
          <t>high</t>
        </is>
      </c>
      <c r="K176" s="6" t="inlineStr">
        <is>
          <t>official</t>
        </is>
      </c>
      <c r="L176" s="6" t="inlineStr">
        <is>
          <t>https://le.utah.gov/xcode/Title13/Chapter14/13-14-S204.html (version effective 5/3/2023; chapter PDF C13-14_1800010118000101.pdf also checked)</t>
        </is>
      </c>
    </row>
    <row r="177">
      <c r="A177" s="6" t="inlineStr">
        <is>
          <t>UT</t>
        </is>
      </c>
      <c r="B177" s="6" t="inlineStr">
        <is>
          <t>Independent service contract</t>
        </is>
      </c>
      <c r="C177" s="6" t="inlineStr">
        <is>
          <t>Not addressed</t>
        </is>
      </c>
      <c r="D177" s="6" t="inlineStr">
        <is>
          <t>-</t>
        </is>
      </c>
      <c r="E177" s="6" t="inlineStr"/>
      <c r="F177" s="6" t="inlineStr"/>
      <c r="G177" s="6" t="inlineStr">
        <is>
          <t>"Qualified repair" does not include: ... (C) a repair for a government agency, an insurer, or an extended warranty or service contract provider;</t>
        </is>
      </c>
      <c r="H177" s="6" t="inlineStr">
        <is>
          <t>§ 13-14-204(3)(a)(ii)(C)</t>
        </is>
      </c>
      <c r="I177" s="6" t="inlineStr">
        <is>
          <t>Utah Code § 13-14-204</t>
        </is>
      </c>
      <c r="J177" s="6" t="inlineStr">
        <is>
          <t>high</t>
        </is>
      </c>
      <c r="K177" s="6" t="inlineStr">
        <is>
          <t>official</t>
        </is>
      </c>
      <c r="L177" s="6" t="inlineStr">
        <is>
          <t>https://le.utah.gov/xcode/Title13/Chapter14/13-14-S204.html (version effective 5/3/2023; chapter PDF C13-14_1800010118000101.pdf also checked)</t>
        </is>
      </c>
    </row>
    <row r="178">
      <c r="A178" s="6" t="inlineStr">
        <is>
          <t>VA</t>
        </is>
      </c>
      <c r="B178" s="6" t="inlineStr">
        <is>
          <t>Factory warranty</t>
        </is>
      </c>
      <c r="C178" s="6" t="inlineStr">
        <is>
          <t>Required</t>
        </is>
      </c>
      <c r="D178" s="6" t="inlineStr">
        <is>
          <t>Statute silent on time / not established</t>
        </is>
      </c>
      <c r="E178" s="6" t="inlineStr"/>
      <c r="F178" s="6" t="inlineStr">
        <is>
          <t>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is>
      </c>
      <c r="G178" s="6" t="inlineStr">
        <is>
          <t>Compensation of a dealer for recall or warranty parts, service, and diagnostic work shall not be less than the amounts charged by the dealer for the manufacturer's or distributor's original parts, service, and diagnostic work to retail customers</t>
        </is>
      </c>
      <c r="H178" s="6" t="inlineStr">
        <is>
          <t>§ 46.2-1571(A)(1)</t>
        </is>
      </c>
      <c r="I178" s="6" t="inlineStr">
        <is>
          <t>Va. Code Ann. § 46.2-1571</t>
        </is>
      </c>
      <c r="J178" s="6" t="inlineStr">
        <is>
          <t>high</t>
        </is>
      </c>
      <c r="K178" s="6" t="inlineStr">
        <is>
          <t>official</t>
        </is>
      </c>
      <c r="L178" s="6" t="inlineStr">
        <is>
          <t>https://law.lis.virginia.gov/vacode/title46.2/chapter15/section46.2-1571/</t>
        </is>
      </c>
    </row>
    <row r="179">
      <c r="A179" s="6" t="inlineStr">
        <is>
          <t>VA</t>
        </is>
      </c>
      <c r="B179" s="6" t="inlineStr">
        <is>
          <t>Mfr-backed service contract</t>
        </is>
      </c>
      <c r="C179" s="6" t="inlineStr">
        <is>
          <t>Conditional</t>
        </is>
      </c>
      <c r="D179" s="6" t="inlineStr">
        <is>
          <t>Statute silent on time / not established</t>
        </is>
      </c>
      <c r="E179" s="6" t="inlineStr"/>
      <c r="F179" s="6" t="inlineStr"/>
      <c r="G179"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79" s="6" t="inlineStr">
        <is>
          <t>§ 46.2-1571(A)(1)</t>
        </is>
      </c>
      <c r="I179" s="6" t="inlineStr">
        <is>
          <t>Va. Code Ann. § 46.2-1571</t>
        </is>
      </c>
      <c r="J179" s="6" t="inlineStr">
        <is>
          <t>high</t>
        </is>
      </c>
      <c r="K179" s="6" t="inlineStr">
        <is>
          <t>official</t>
        </is>
      </c>
      <c r="L179" s="6" t="inlineStr">
        <is>
          <t>https://law.lis.virginia.gov/vacode/title46.2/chapter15/section46.2-1571/</t>
        </is>
      </c>
    </row>
    <row r="180">
      <c r="A180" s="6" t="inlineStr">
        <is>
          <t>VA</t>
        </is>
      </c>
      <c r="B180" s="6" t="inlineStr">
        <is>
          <t>CPO warranty</t>
        </is>
      </c>
      <c r="C180" s="6" t="inlineStr">
        <is>
          <t>Conditional</t>
        </is>
      </c>
      <c r="D180" s="6" t="inlineStr">
        <is>
          <t>Statute silent on time / not established</t>
        </is>
      </c>
      <c r="E180" s="6" t="inlineStr"/>
      <c r="F180" s="6" t="inlineStr"/>
      <c r="G180"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0" s="6" t="inlineStr">
        <is>
          <t>§ 46.2-1571(A)(1)</t>
        </is>
      </c>
      <c r="I180" s="6" t="inlineStr">
        <is>
          <t>Va. Code Ann. § 46.2-1571</t>
        </is>
      </c>
      <c r="J180" s="6" t="inlineStr">
        <is>
          <t>high</t>
        </is>
      </c>
      <c r="K180" s="6" t="inlineStr">
        <is>
          <t>official</t>
        </is>
      </c>
      <c r="L180" s="6" t="inlineStr">
        <is>
          <t>https://law.lis.virginia.gov/vacode/title46.2/chapter15/section46.2-1571/</t>
        </is>
      </c>
    </row>
    <row r="181">
      <c r="A181" s="6" t="inlineStr">
        <is>
          <t>VA</t>
        </is>
      </c>
      <c r="B181" s="6" t="inlineStr">
        <is>
          <t>Independent service contract</t>
        </is>
      </c>
      <c r="C181" s="6" t="inlineStr">
        <is>
          <t>Not addressed</t>
        </is>
      </c>
      <c r="D181" s="6" t="inlineStr">
        <is>
          <t>-</t>
        </is>
      </c>
      <c r="E181" s="6" t="inlineStr"/>
      <c r="F181" s="6" t="inlineStr"/>
      <c r="G181" s="6" t="inlineStr">
        <is>
          <t>All manufacturer or distributor compensated parts, service, diagnostic work, updates to a vehicle accessory or function, or initialization or repair of a vehicle part, system, accessory, or function performed by the dealer shall be subject to this subsection.</t>
        </is>
      </c>
      <c r="H181" s="6" t="inlineStr">
        <is>
          <t>§ 46.2-1571(A)(1)</t>
        </is>
      </c>
      <c r="I181" s="6" t="inlineStr">
        <is>
          <t>Va. Code Ann. § 46.2-1571</t>
        </is>
      </c>
      <c r="J181" s="6" t="inlineStr">
        <is>
          <t>high</t>
        </is>
      </c>
      <c r="K181" s="6" t="inlineStr">
        <is>
          <t>official</t>
        </is>
      </c>
      <c r="L181" s="6" t="inlineStr">
        <is>
          <t>https://law.lis.virginia.gov/vacode/title46.2/chapter15/section46.2-1571/</t>
        </is>
      </c>
    </row>
    <row r="182">
      <c r="A182" s="6" t="inlineStr">
        <is>
          <t>VT</t>
        </is>
      </c>
      <c r="B182" s="6" t="inlineStr">
        <is>
          <t>Factory warranty</t>
        </is>
      </c>
      <c r="C182" s="6" t="inlineStr">
        <is>
          <t>Required</t>
        </is>
      </c>
      <c r="D182" s="6" t="inlineStr">
        <is>
          <t>Factory time (reasonable/adequate standard where stated)</t>
        </is>
      </c>
      <c r="E182" s="6" t="inlineStr"/>
      <c r="F182" s="6" t="inlineStr">
        <is>
          <t>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is>
      </c>
      <c r="G182" s="6" t="inlineStr">
        <is>
          <t>Time allowances for the diagnosis and performance of predelivery and warranty service shall be reasonable and adequate for the work to be performed. The hourly rate paid to a new motor vehicle dealer shall not be less than the rate…</t>
        </is>
      </c>
      <c r="H182" s="6" t="inlineStr">
        <is>
          <t>§ 4086(b); see (a)</t>
        </is>
      </c>
      <c r="I182" s="6" t="inlineStr">
        <is>
          <t>Vt. Stat. Ann. tit. 9, § 4086</t>
        </is>
      </c>
      <c r="J182" s="6" t="inlineStr">
        <is>
          <t>high</t>
        </is>
      </c>
      <c r="K182" s="6" t="inlineStr">
        <is>
          <t>official</t>
        </is>
      </c>
      <c r="L182" s="6" t="inlineStr">
        <is>
          <t>https://legislature.vermont.gov/statutes/section/09/108/04086 (read the full chapter at https://legislature.vermont.gov/statutes/fullchapter/09/108)</t>
        </is>
      </c>
    </row>
    <row r="183">
      <c r="A183" s="6" t="inlineStr">
        <is>
          <t>VT</t>
        </is>
      </c>
      <c r="B183" s="6" t="inlineStr">
        <is>
          <t>Mfr-backed service contract</t>
        </is>
      </c>
      <c r="C183" s="6" t="inlineStr">
        <is>
          <t>Not addressed</t>
        </is>
      </c>
      <c r="D183" s="6" t="inlineStr">
        <is>
          <t>-</t>
        </is>
      </c>
      <c r="E183" s="6" t="inlineStr"/>
      <c r="F183" s="6" t="inlineStr"/>
      <c r="G183" s="6" t="inlineStr">
        <is>
          <t>the dealer's obligations for predelivery preparation and warranty service on its products, shall compensate the new motor vehicle dealer for such service required of the dealer by the manufacturer</t>
        </is>
      </c>
      <c r="H183" s="6" t="inlineStr">
        <is>
          <t>§ 4086(a)</t>
        </is>
      </c>
      <c r="I183" s="6" t="inlineStr">
        <is>
          <t>Vt. Stat. Ann. tit. 9, § 4086</t>
        </is>
      </c>
      <c r="J183" s="6" t="inlineStr">
        <is>
          <t>high</t>
        </is>
      </c>
      <c r="K183" s="6" t="inlineStr">
        <is>
          <t>official</t>
        </is>
      </c>
      <c r="L183" s="6" t="inlineStr">
        <is>
          <t>https://legislature.vermont.gov/statutes/section/09/108/04086 (read the full chapter at https://legislature.vermont.gov/statutes/fullchapter/09/108)</t>
        </is>
      </c>
    </row>
    <row r="184">
      <c r="A184" s="6" t="inlineStr">
        <is>
          <t>VT</t>
        </is>
      </c>
      <c r="B184" s="6" t="inlineStr">
        <is>
          <t>CPO warranty</t>
        </is>
      </c>
      <c r="C184" s="6" t="inlineStr">
        <is>
          <t>Not addressed</t>
        </is>
      </c>
      <c r="D184" s="6" t="inlineStr">
        <is>
          <t>-</t>
        </is>
      </c>
      <c r="E184" s="6" t="inlineStr"/>
      <c r="F184" s="6" t="inlineStr"/>
      <c r="G184" s="6" t="inlineStr">
        <is>
          <t>the dealer's obligations for predelivery preparation and warranty service on its products, shall compensate the new motor vehicle dealer for such service required of the dealer by the manufacturer</t>
        </is>
      </c>
      <c r="H184" s="6" t="inlineStr">
        <is>
          <t>§ 4086(a)</t>
        </is>
      </c>
      <c r="I184" s="6" t="inlineStr">
        <is>
          <t>Vt. Stat. Ann. tit. 9, § 4086</t>
        </is>
      </c>
      <c r="J184" s="6" t="inlineStr">
        <is>
          <t>high</t>
        </is>
      </c>
      <c r="K184" s="6" t="inlineStr">
        <is>
          <t>official</t>
        </is>
      </c>
      <c r="L184" s="6" t="inlineStr">
        <is>
          <t>https://legislature.vermont.gov/statutes/section/09/108/04086 (read the full chapter at https://legislature.vermont.gov/statutes/fullchapter/09/108)</t>
        </is>
      </c>
    </row>
    <row r="185">
      <c r="A185" s="6" t="inlineStr">
        <is>
          <t>VT</t>
        </is>
      </c>
      <c r="B185" s="6" t="inlineStr">
        <is>
          <t>Independent service contract</t>
        </is>
      </c>
      <c r="C185" s="6" t="inlineStr">
        <is>
          <t>Not addressed</t>
        </is>
      </c>
      <c r="D185" s="6" t="inlineStr">
        <is>
          <t>-</t>
        </is>
      </c>
      <c r="E185" s="6" t="inlineStr"/>
      <c r="F185" s="6" t="inlineStr"/>
      <c r="G185" s="6" t="inlineStr">
        <is>
          <t>the manufacturer shall reimburse the new motor vehicle dealer for any labor performed at the retail rate customarily charged by that franchisee for the same labor when not performed in satisfaction of a warranty</t>
        </is>
      </c>
      <c r="H185" s="6" t="inlineStr">
        <is>
          <t>§ 4086(c)</t>
        </is>
      </c>
      <c r="I185" s="6" t="inlineStr">
        <is>
          <t>Vt. Stat. Ann. tit. 9, § 4086</t>
        </is>
      </c>
      <c r="J185" s="6" t="inlineStr">
        <is>
          <t>high</t>
        </is>
      </c>
      <c r="K185" s="6" t="inlineStr">
        <is>
          <t>official</t>
        </is>
      </c>
      <c r="L185" s="6" t="inlineStr">
        <is>
          <t>https://legislature.vermont.gov/statutes/section/09/108/04086 (read the full chapter at https://legislature.vermont.gov/statutes/fullchapter/09/108)</t>
        </is>
      </c>
    </row>
    <row r="186">
      <c r="A186" s="6" t="inlineStr">
        <is>
          <t>WA</t>
        </is>
      </c>
      <c r="B186" s="6" t="inlineStr">
        <is>
          <t>Factory warranty</t>
        </is>
      </c>
      <c r="C186" s="6" t="inlineStr">
        <is>
          <t>Required</t>
        </is>
      </c>
      <c r="D186" s="6" t="inlineStr">
        <is>
          <t>Statute silent on time / not established</t>
        </is>
      </c>
      <c r="E186" s="6" t="inlineStr"/>
      <c r="F186" s="6" t="inlineStr">
        <is>
          <t>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is>
      </c>
      <c r="G186" s="6" t="inlineStr">
        <is>
          <t>A manufacturer shall compensate a dealer for labor and diagnostic work at the rates charged by the dealer to its retail customers for such work</t>
        </is>
      </c>
      <c r="H186" s="6" t="inlineStr">
        <is>
          <t>§ 46.96.105(1)(b)</t>
        </is>
      </c>
      <c r="I186" s="6" t="inlineStr">
        <is>
          <t>Rev. Code Wash. § 46.96.105</t>
        </is>
      </c>
      <c r="J186" s="6" t="inlineStr">
        <is>
          <t>high</t>
        </is>
      </c>
      <c r="K186" s="6" t="inlineStr">
        <is>
          <t>official</t>
        </is>
      </c>
      <c r="L186" s="6" t="inlineStr">
        <is>
          <t>https://app.leg.wa.gov/RCW/default.aspx?cite=46.96.105 (full chapter: https://app.leg.wa.gov/RCW/default.aspx?cite=46.96&amp;full=true)</t>
        </is>
      </c>
    </row>
    <row r="187">
      <c r="A187" s="6" t="inlineStr">
        <is>
          <t>WA</t>
        </is>
      </c>
      <c r="B187" s="6" t="inlineStr">
        <is>
          <t>Mfr-backed service contract</t>
        </is>
      </c>
      <c r="C187" s="6" t="inlineStr">
        <is>
          <t>Not addressed</t>
        </is>
      </c>
      <c r="D187" s="6" t="inlineStr">
        <is>
          <t>-</t>
        </is>
      </c>
      <c r="E187" s="6" t="inlineStr"/>
      <c r="F187" s="6" t="inlineStr"/>
      <c r="G187" s="6" t="inlineStr">
        <is>
          <t>a schedule of compensation to be paid to the dealer for any warranty work or service, including parts, labor, and diagnostic work, required of the dealer by the manufacturer in connection with the manufacturer's products.</t>
        </is>
      </c>
      <c r="H187" s="6" t="inlineStr">
        <is>
          <t>§ 46.96.105(1)</t>
        </is>
      </c>
      <c r="I187" s="6" t="inlineStr">
        <is>
          <t>Rev. Code Wash. § 46.96.105</t>
        </is>
      </c>
      <c r="J187" s="6" t="inlineStr">
        <is>
          <t>high</t>
        </is>
      </c>
      <c r="K187" s="6" t="inlineStr">
        <is>
          <t>official</t>
        </is>
      </c>
      <c r="L187" s="6" t="inlineStr">
        <is>
          <t>https://app.leg.wa.gov/RCW/default.aspx?cite=46.96.105 (full chapter: https://app.leg.wa.gov/RCW/default.aspx?cite=46.96&amp;full=true)</t>
        </is>
      </c>
    </row>
    <row r="188">
      <c r="A188" s="6" t="inlineStr">
        <is>
          <t>WA</t>
        </is>
      </c>
      <c r="B188" s="6" t="inlineStr">
        <is>
          <t>CPO warranty</t>
        </is>
      </c>
      <c r="C188" s="6" t="inlineStr">
        <is>
          <t>Not addressed</t>
        </is>
      </c>
      <c r="D188" s="6" t="inlineStr">
        <is>
          <t>-</t>
        </is>
      </c>
      <c r="E188" s="6" t="inlineStr"/>
      <c r="F188" s="6" t="inlineStr"/>
      <c r="G188" s="6" t="inlineStr">
        <is>
          <t>repair work paid for by the brand owner under the terms of a warranty, recall, service contract, extended warranty, maintenance plan, or certified preowned vehicle program established or offered by the brand owner.</t>
        </is>
      </c>
      <c r="H188" s="6" t="inlineStr">
        <is>
          <t>§ 46.96.196(3) (secondary-products rule only)</t>
        </is>
      </c>
      <c r="I188" s="6" t="inlineStr">
        <is>
          <t>Rev. Code Wash. § 46.96.105</t>
        </is>
      </c>
      <c r="J188" s="6" t="inlineStr">
        <is>
          <t>high</t>
        </is>
      </c>
      <c r="K188" s="6" t="inlineStr">
        <is>
          <t>official</t>
        </is>
      </c>
      <c r="L188" s="6" t="inlineStr">
        <is>
          <t>https://app.leg.wa.gov/RCW/default.aspx?cite=46.96.105 (full chapter: https://app.leg.wa.gov/RCW/default.aspx?cite=46.96&amp;full=true)</t>
        </is>
      </c>
    </row>
    <row r="189">
      <c r="A189" s="6" t="inlineStr">
        <is>
          <t>WA</t>
        </is>
      </c>
      <c r="B189" s="6" t="inlineStr">
        <is>
          <t>Independent service contract</t>
        </is>
      </c>
      <c r="C189" s="6" t="inlineStr">
        <is>
          <t>Not addressed</t>
        </is>
      </c>
      <c r="D189" s="6" t="inlineStr">
        <is>
          <t>-</t>
        </is>
      </c>
      <c r="E189" s="6" t="inlineStr"/>
      <c r="F189" s="6" t="inlineStr"/>
      <c r="G189" s="6" t="inlineStr">
        <is>
          <t>the dealer's obligation to perform warranty work or service on the manufacturer's products.</t>
        </is>
      </c>
      <c r="H189" s="6" t="inlineStr">
        <is>
          <t>§ 46.96.105(1)</t>
        </is>
      </c>
      <c r="I189" s="6" t="inlineStr">
        <is>
          <t>Rev. Code Wash. § 46.96.105</t>
        </is>
      </c>
      <c r="J189" s="6" t="inlineStr">
        <is>
          <t>high</t>
        </is>
      </c>
      <c r="K189" s="6" t="inlineStr">
        <is>
          <t>official</t>
        </is>
      </c>
      <c r="L189" s="6" t="inlineStr">
        <is>
          <t>https://app.leg.wa.gov/RCW/default.aspx?cite=46.96.105 (full chapter: https://app.leg.wa.gov/RCW/default.aspx?cite=46.96&amp;full=true)</t>
        </is>
      </c>
    </row>
    <row r="190">
      <c r="A190" s="6" t="inlineStr">
        <is>
          <t>WI</t>
        </is>
      </c>
      <c r="B190" s="6" t="inlineStr">
        <is>
          <t>Factory warranty</t>
        </is>
      </c>
      <c r="C190" s="6" t="inlineStr">
        <is>
          <t>Required</t>
        </is>
      </c>
      <c r="D190" s="6" t="inlineStr">
        <is>
          <t>Negotiated/other</t>
        </is>
      </c>
      <c r="E190" s="6" t="inlineStr"/>
      <c r="F190" s="6" t="inlineStr">
        <is>
          <t>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is>
      </c>
      <c r="G190" s="6" t="inlineStr">
        <is>
          <t>for labor is equal to the dealer's effective nonwarranty labor rate multiplied by the number of hours allowed for the repair under the manufacturer's, importer's, or distributor's time allowances used in compensating the dealer for warranty work.</t>
        </is>
      </c>
      <c r="H190" s="6" t="inlineStr">
        <is>
          <t>§ 218.0125(3m)(b); rate formula (3m)(c)1.</t>
        </is>
      </c>
      <c r="I190" s="6" t="inlineStr">
        <is>
          <t>Wis. Stat. § 218.0125</t>
        </is>
      </c>
      <c r="J190" s="6" t="inlineStr">
        <is>
          <t>high</t>
        </is>
      </c>
      <c r="K190" s="6" t="inlineStr">
        <is>
          <t>official</t>
        </is>
      </c>
      <c r="L190" s="6" t="inlineStr">
        <is>
          <t>https://docs.legis.wisconsin.gov/statutes/statutes/218/i/0125 (chapter 218 PDF, updated through 2025 Wis. Act 247, published 9-4-26)</t>
        </is>
      </c>
    </row>
    <row r="191">
      <c r="A191" s="6" t="inlineStr">
        <is>
          <t>WI</t>
        </is>
      </c>
      <c r="B191" s="6" t="inlineStr">
        <is>
          <t>Mfr-backed service contract</t>
        </is>
      </c>
      <c r="C191" s="6" t="inlineStr">
        <is>
          <t>Conditional</t>
        </is>
      </c>
      <c r="D191" s="6" t="inlineStr">
        <is>
          <t>Negotiated/other</t>
        </is>
      </c>
      <c r="E191" s="6" t="inlineStr"/>
      <c r="F191" s="6" t="inlineStr"/>
      <c r="G191" s="6" t="inlineStr">
        <is>
          <t>or who performs any other work required, requested, or approved by the manufacturer, importer, or distributor or for which the manufacturer, importer, or distributor has agreed to pay.</t>
        </is>
      </c>
      <c r="H191" s="6" t="inlineStr">
        <is>
          <t>§ 218.0125(3m)(a)</t>
        </is>
      </c>
      <c r="I191" s="6" t="inlineStr">
        <is>
          <t>Wis. Stat. § 218.0125</t>
        </is>
      </c>
      <c r="J191" s="6" t="inlineStr">
        <is>
          <t>high</t>
        </is>
      </c>
      <c r="K191" s="6" t="inlineStr">
        <is>
          <t>official</t>
        </is>
      </c>
      <c r="L191" s="6" t="inlineStr">
        <is>
          <t>https://docs.legis.wisconsin.gov/statutes/statutes/218/i/0125 (chapter 218 PDF, updated through 2025 Wis. Act 247, published 9-4-26)</t>
        </is>
      </c>
    </row>
    <row r="192">
      <c r="A192" s="6" t="inlineStr">
        <is>
          <t>WI</t>
        </is>
      </c>
      <c r="B192" s="6" t="inlineStr">
        <is>
          <t>CPO warranty</t>
        </is>
      </c>
      <c r="C192" s="6" t="inlineStr">
        <is>
          <t>Conditional</t>
        </is>
      </c>
      <c r="D192" s="6" t="inlineStr">
        <is>
          <t>Negotiated/other</t>
        </is>
      </c>
      <c r="E192" s="6" t="inlineStr"/>
      <c r="F192" s="6" t="inlineStr"/>
      <c r="G192" s="6" t="inlineStr">
        <is>
          <t>or who performs any other work required, requested, or approved by the manufacturer, importer, or distributor or for which the manufacturer, importer, or distributor has agreed to pay.</t>
        </is>
      </c>
      <c r="H192" s="6" t="inlineStr">
        <is>
          <t>§ 218.0125(3m)(a)</t>
        </is>
      </c>
      <c r="I192" s="6" t="inlineStr">
        <is>
          <t>Wis. Stat. § 218.0125</t>
        </is>
      </c>
      <c r="J192" s="6" t="inlineStr">
        <is>
          <t>high</t>
        </is>
      </c>
      <c r="K192" s="6" t="inlineStr">
        <is>
          <t>official</t>
        </is>
      </c>
      <c r="L192" s="6" t="inlineStr">
        <is>
          <t>https://docs.legis.wisconsin.gov/statutes/statutes/218/i/0125 (chapter 218 PDF, updated through 2025 Wis. Act 247, published 9-4-26)</t>
        </is>
      </c>
    </row>
    <row r="193">
      <c r="A193" s="6" t="inlineStr">
        <is>
          <t>WI</t>
        </is>
      </c>
      <c r="B193" s="6" t="inlineStr">
        <is>
          <t>Independent service contract</t>
        </is>
      </c>
      <c r="C193" s="6" t="inlineStr">
        <is>
          <t>Not addressed</t>
        </is>
      </c>
      <c r="D193" s="6" t="inlineStr">
        <is>
          <t>-</t>
        </is>
      </c>
      <c r="E193" s="6" t="inlineStr"/>
      <c r="F193" s="6" t="inlineStr"/>
      <c r="G193" s="6" t="inlineStr">
        <is>
          <t>shall reasonably compensate a dealer who performs work to rectify the product or warranty defects of the manufacturer, importer, or distributor</t>
        </is>
      </c>
      <c r="H193" s="6" t="inlineStr">
        <is>
          <t>§ 218.0125(3m)(a)</t>
        </is>
      </c>
      <c r="I193" s="6" t="inlineStr">
        <is>
          <t>Wis. Stat. § 218.0125</t>
        </is>
      </c>
      <c r="J193" s="6" t="inlineStr">
        <is>
          <t>high</t>
        </is>
      </c>
      <c r="K193" s="6" t="inlineStr">
        <is>
          <t>official</t>
        </is>
      </c>
      <c r="L193" s="6" t="inlineStr">
        <is>
          <t>https://docs.legis.wisconsin.gov/statutes/statutes/218/i/0125 (chapter 218 PDF, updated through 2025 Wis. Act 247, published 9-4-26)</t>
        </is>
      </c>
    </row>
    <row r="194">
      <c r="A194" s="6" t="inlineStr">
        <is>
          <t>WV</t>
        </is>
      </c>
      <c r="B194" s="6" t="inlineStr">
        <is>
          <t>Factory warranty</t>
        </is>
      </c>
      <c r="C194" s="6" t="inlineStr">
        <is>
          <t>Required</t>
        </is>
      </c>
      <c r="D194" s="6" t="inlineStr">
        <is>
          <t>Factory time (reasonable/adequate standard where stated)</t>
        </is>
      </c>
      <c r="E194" s="6" t="inlineStr"/>
      <c r="F194" s="6" t="inlineStr">
        <is>
          <t>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is>
      </c>
      <c r="G194" s="6" t="inlineStr">
        <is>
          <t>The manufacturer shall use time allowances for the diagnosis and performance of the warranty and recall work and services that are reasonable and adequate for the work or services to be performed by a qualified technician.</t>
        </is>
      </c>
      <c r="H194" s="6" t="inlineStr">
        <is>
          <t>§ 17A-6A-8a(m)(1); see (a)(3), (e)</t>
        </is>
      </c>
      <c r="I194" s="6" t="inlineStr">
        <is>
          <t>W. Va. Code § 17A-6A-8a</t>
        </is>
      </c>
      <c r="J194" s="6" t="inlineStr">
        <is>
          <t>high</t>
        </is>
      </c>
      <c r="K194" s="6" t="inlineStr">
        <is>
          <t>official</t>
        </is>
      </c>
      <c r="L194" s="6" t="inlineStr">
        <is>
          <t>https://code.wvlegislature.gov/17A-6A-8a/</t>
        </is>
      </c>
    </row>
    <row r="195">
      <c r="A195" s="6" t="inlineStr">
        <is>
          <t>WV</t>
        </is>
      </c>
      <c r="B195" s="6" t="inlineStr">
        <is>
          <t>Mfr-backed service contract</t>
        </is>
      </c>
      <c r="C195" s="6" t="inlineStr">
        <is>
          <t>Not addressed</t>
        </is>
      </c>
      <c r="D195" s="6" t="inlineStr">
        <is>
          <t>-</t>
        </is>
      </c>
      <c r="E195" s="6" t="inlineStr"/>
      <c r="F195" s="6" t="inlineStr"/>
      <c r="G195" s="6" t="inlineStr">
        <is>
          <t>Compensate the motor vehicle dealer for warranty and factory recall service required of the dealer by the manufacturer, distributor or wholesaler, factory branch or distributor branch</t>
        </is>
      </c>
      <c r="H195" s="6" t="inlineStr">
        <is>
          <t>§ 17A-6A-8a(a)(2)</t>
        </is>
      </c>
      <c r="I195" s="6" t="inlineStr">
        <is>
          <t>W. Va. Code § 17A-6A-8a</t>
        </is>
      </c>
      <c r="J195" s="6" t="inlineStr">
        <is>
          <t>high</t>
        </is>
      </c>
      <c r="K195" s="6" t="inlineStr">
        <is>
          <t>official</t>
        </is>
      </c>
      <c r="L195" s="6" t="inlineStr">
        <is>
          <t>https://code.wvlegislature.gov/17A-6A-8a/</t>
        </is>
      </c>
    </row>
    <row r="196">
      <c r="A196" s="6" t="inlineStr">
        <is>
          <t>WV</t>
        </is>
      </c>
      <c r="B196" s="6" t="inlineStr">
        <is>
          <t>CPO warranty</t>
        </is>
      </c>
      <c r="C196" s="6" t="inlineStr">
        <is>
          <t>Not addressed</t>
        </is>
      </c>
      <c r="D196" s="6" t="inlineStr">
        <is>
          <t>-</t>
        </is>
      </c>
      <c r="E196" s="6" t="inlineStr"/>
      <c r="F196" s="6" t="inlineStr"/>
      <c r="G196" s="6" t="inlineStr">
        <is>
          <t>fail to adequately and fairly compensate the dealers for labor, time, or rate, parts, and other expenses incurred by the dealer to perform under and comply with manufacturer's warranty agreements and factory recalls</t>
        </is>
      </c>
      <c r="H196" s="6" t="inlineStr">
        <is>
          <t>§ 17A-6A-8a(b)(1)</t>
        </is>
      </c>
      <c r="I196" s="6" t="inlineStr">
        <is>
          <t>W. Va. Code § 17A-6A-8a</t>
        </is>
      </c>
      <c r="J196" s="6" t="inlineStr">
        <is>
          <t>high</t>
        </is>
      </c>
      <c r="K196" s="6" t="inlineStr">
        <is>
          <t>official</t>
        </is>
      </c>
      <c r="L196" s="6" t="inlineStr">
        <is>
          <t>https://code.wvlegislature.gov/17A-6A-8a/</t>
        </is>
      </c>
    </row>
    <row r="197">
      <c r="A197" s="6" t="inlineStr">
        <is>
          <t>WV</t>
        </is>
      </c>
      <c r="B197" s="6" t="inlineStr">
        <is>
          <t>Independent service contract</t>
        </is>
      </c>
      <c r="C197" s="6" t="inlineStr">
        <is>
          <t>Not addressed</t>
        </is>
      </c>
      <c r="D197" s="6" t="inlineStr">
        <is>
          <t>-</t>
        </is>
      </c>
      <c r="E197" s="6" t="inlineStr"/>
      <c r="F197" s="6" t="inlineStr"/>
      <c r="G197" s="6" t="inlineStr">
        <is>
          <t>pay its dealers an amount of money for warranty or recall work that is less than that charged by the dealer to the retail customers of the dealer for nonwarranty and nonrecall work of the like kind</t>
        </is>
      </c>
      <c r="H197" s="6" t="inlineStr">
        <is>
          <t>§ 17A-6A-8a(b)(2)</t>
        </is>
      </c>
      <c r="I197" s="6" t="inlineStr">
        <is>
          <t>W. Va. Code § 17A-6A-8a</t>
        </is>
      </c>
      <c r="J197" s="6" t="inlineStr">
        <is>
          <t>high</t>
        </is>
      </c>
      <c r="K197" s="6" t="inlineStr">
        <is>
          <t>official</t>
        </is>
      </c>
      <c r="L197" s="6" t="inlineStr">
        <is>
          <t>https://code.wvlegislature.gov/17A-6A-8a/</t>
        </is>
      </c>
    </row>
    <row r="198">
      <c r="A198" s="6" t="inlineStr">
        <is>
          <t>WY</t>
        </is>
      </c>
      <c r="B198" s="6" t="inlineStr">
        <is>
          <t>Factory warranty</t>
        </is>
      </c>
      <c r="C198" s="6" t="inlineStr">
        <is>
          <t>Required</t>
        </is>
      </c>
      <c r="D198" s="6" t="inlineStr">
        <is>
          <t>Factory time (reasonable/adequate standard where stated)</t>
        </is>
      </c>
      <c r="E198" s="6" t="inlineStr"/>
      <c r="F198" s="6" t="inlineStr">
        <is>
          <t>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is>
      </c>
      <c r="G198" s="6" t="inlineStr">
        <is>
          <t>Time allowances for the diagnosis and performance of warranty work and service shall be reasonable and adequate for the work to be performed. The hourly labor rate charged by the dealer for warranty service shall not exceed the hourly labor…</t>
        </is>
      </c>
      <c r="H198" s="6" t="inlineStr">
        <is>
          <t>§ 31-16-117(b); see (a)</t>
        </is>
      </c>
      <c r="I198" s="6" t="inlineStr">
        <is>
          <t>Wyo. Stat. Ann. § 31-16-117</t>
        </is>
      </c>
      <c r="J198" s="6" t="inlineStr">
        <is>
          <t>high</t>
        </is>
      </c>
      <c r="K198" s="6" t="inlineStr">
        <is>
          <t>official</t>
        </is>
      </c>
      <c r="L198" s="6" t="inlineStr">
        <is>
          <t>https://wyoleg.gov/statutes/compress/title31.pdf (official Title 31 compilation) plus enrolled act https://wyoleg.gov/2025/Enroll/SF0106.pdf</t>
        </is>
      </c>
    </row>
    <row r="199">
      <c r="A199" s="6" t="inlineStr">
        <is>
          <t>WY</t>
        </is>
      </c>
      <c r="B199" s="6" t="inlineStr">
        <is>
          <t>Mfr-backed service contract</t>
        </is>
      </c>
      <c r="C199" s="6" t="inlineStr">
        <is>
          <t>Not addressed</t>
        </is>
      </c>
      <c r="D199" s="6" t="inlineStr">
        <is>
          <t>-</t>
        </is>
      </c>
      <c r="E199" s="6" t="inlineStr"/>
      <c r="F199" s="6" t="inlineStr"/>
      <c r="G199" s="6" t="inlineStr">
        <is>
          <t>enters into a contract with a motor vehicle, medium duty or heavy duty truck dealer which authorizes the dealer to perform warranty or other services on products produced or distributed.</t>
        </is>
      </c>
      <c r="H199" s="6" t="inlineStr">
        <is>
          <t>§ 31-16-117(e)</t>
        </is>
      </c>
      <c r="I199" s="6" t="inlineStr">
        <is>
          <t>Wyo. Stat. Ann. § 31-16-117</t>
        </is>
      </c>
      <c r="J199" s="6" t="inlineStr">
        <is>
          <t>high</t>
        </is>
      </c>
      <c r="K199" s="6" t="inlineStr">
        <is>
          <t>official</t>
        </is>
      </c>
      <c r="L199" s="6" t="inlineStr">
        <is>
          <t>https://wyoleg.gov/statutes/compress/title31.pdf (official Title 31 compilation) plus enrolled act https://wyoleg.gov/2025/Enroll/SF0106.pdf</t>
        </is>
      </c>
    </row>
    <row r="200">
      <c r="A200" s="6" t="inlineStr">
        <is>
          <t>WY</t>
        </is>
      </c>
      <c r="B200" s="6" t="inlineStr">
        <is>
          <t>CPO warranty</t>
        </is>
      </c>
      <c r="C200" s="6" t="inlineStr">
        <is>
          <t>Not addressed</t>
        </is>
      </c>
      <c r="D200" s="6" t="inlineStr">
        <is>
          <t>-</t>
        </is>
      </c>
      <c r="E200" s="6" t="inlineStr"/>
      <c r="F200" s="6" t="inlineStr"/>
      <c r="G200" s="6" t="inlineStr">
        <is>
          <t>Complete engine and transmission assemblies replaced under warranty or other new vehicle manufacturer reimbursed repairs.</t>
        </is>
      </c>
      <c r="H200" s="6" t="inlineStr">
        <is>
          <t>§ 31-16-117(r)(ii)</t>
        </is>
      </c>
      <c r="I200" s="6" t="inlineStr">
        <is>
          <t>Wyo. Stat. Ann. § 31-16-117</t>
        </is>
      </c>
      <c r="J200" s="6" t="inlineStr">
        <is>
          <t>high</t>
        </is>
      </c>
      <c r="K200" s="6" t="inlineStr">
        <is>
          <t>official</t>
        </is>
      </c>
      <c r="L200" s="6" t="inlineStr">
        <is>
          <t>https://wyoleg.gov/statutes/compress/title31.pdf (official Title 31 compilation) plus enrolled act https://wyoleg.gov/2025/Enroll/SF0106.pdf</t>
        </is>
      </c>
    </row>
    <row r="201">
      <c r="A201" s="6" t="inlineStr">
        <is>
          <t>WY</t>
        </is>
      </c>
      <c r="B201" s="6" t="inlineStr">
        <is>
          <t>Independent service contract</t>
        </is>
      </c>
      <c r="C201" s="6" t="inlineStr">
        <is>
          <t>Not addressed</t>
        </is>
      </c>
      <c r="D201" s="6" t="inlineStr">
        <is>
          <t>-</t>
        </is>
      </c>
      <c r="E201" s="6" t="inlineStr"/>
      <c r="F201" s="6" t="inlineStr"/>
      <c r="G201" s="6" t="inlineStr">
        <is>
          <t>A new vehicle dealer may establish an hourly labor rate or a retail parts markup rate charged for warranty repairs to be included in the manufacturer's schedule of compensation</t>
        </is>
      </c>
      <c r="H201" s="6" t="inlineStr">
        <is>
          <t>§ 31-16-117(f)</t>
        </is>
      </c>
      <c r="I201" s="6" t="inlineStr">
        <is>
          <t>Wyo. Stat. Ann. § 31-16-117</t>
        </is>
      </c>
      <c r="J201" s="6" t="inlineStr">
        <is>
          <t>high</t>
        </is>
      </c>
      <c r="K201" s="6" t="inlineStr">
        <is>
          <t>official</t>
        </is>
      </c>
      <c r="L201" s="6" t="inlineStr">
        <is>
          <t>https://wyoleg.gov/statutes/compress/title31.pdf (official Title 31 compilation) plus enrolled act https://wyoleg.gov/2025/Enroll/SF0106.pdf</t>
        </is>
      </c>
    </row>
  </sheetData>
  <autoFilter ref="A1:L2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N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s>
  <sheetData>
    <row r="1" ht="32" customHeight="1">
      <c r="A1" s="4" t="inlineStr">
        <is>
          <t>State</t>
        </is>
      </c>
      <c r="B1" s="4" t="inlineStr">
        <is>
          <t>Name</t>
        </is>
      </c>
      <c r="C1" s="4" t="inlineStr">
        <is>
          <t>Claim decision (days)</t>
        </is>
      </c>
      <c r="D1" s="4" t="inlineStr">
        <is>
          <t>Late claim deemed approved</t>
        </is>
      </c>
      <c r="E1" s="4" t="inlineStr">
        <is>
          <t>Payment (days)</t>
        </is>
      </c>
      <c r="F1" s="4" t="inlineStr">
        <is>
          <t>Payment trigger</t>
        </is>
      </c>
      <c r="G1" s="4" t="inlineStr">
        <is>
          <t>Dealer filing deadline</t>
        </is>
      </c>
      <c r="H1" s="4" t="inlineStr">
        <is>
          <t>Resubmission rights</t>
        </is>
      </c>
      <c r="I1" s="4" t="inlineStr">
        <is>
          <t>Denial requirements</t>
        </is>
      </c>
      <c r="J1" s="4" t="inlineStr">
        <is>
          <t>Claims quote</t>
        </is>
      </c>
      <c r="K1" s="4" t="inlineStr">
        <is>
          <t>Claims pinpoint</t>
        </is>
      </c>
      <c r="L1" s="4" t="inlineStr">
        <is>
          <t>Chargeback window (months)</t>
        </is>
      </c>
      <c r="M1" s="4" t="inlineStr">
        <is>
          <t>Fraud extension</t>
        </is>
      </c>
      <c r="N1" s="4" t="inlineStr">
        <is>
          <t>Chargeback limits</t>
        </is>
      </c>
      <c r="O1" s="4" t="inlineStr">
        <is>
          <t>Chargeback quote</t>
        </is>
      </c>
      <c r="P1" s="4" t="inlineStr">
        <is>
          <t>Chargeback pinpoint</t>
        </is>
      </c>
      <c r="Q1" s="4" t="inlineStr">
        <is>
          <t>Rate resubmission frequency</t>
        </is>
      </c>
      <c r="R1" s="4" t="inlineStr">
        <is>
          <t>Rate sample</t>
        </is>
      </c>
      <c r="S1" s="4" t="inlineStr">
        <is>
          <t>Rate formula</t>
        </is>
      </c>
      <c r="T1" s="4" t="inlineStr">
        <is>
          <t>Excluded from sample</t>
        </is>
      </c>
      <c r="U1" s="4" t="inlineStr">
        <is>
          <t>Exclusions (statute wording)</t>
        </is>
      </c>
      <c r="V1" s="4" t="inlineStr">
        <is>
          <t>New rate effective</t>
        </is>
      </c>
      <c r="W1" s="4" t="inlineStr">
        <is>
          <t>Rate quote</t>
        </is>
      </c>
      <c r="X1" s="4" t="inlineStr">
        <is>
          <t>Rate pinpoint</t>
        </is>
      </c>
      <c r="Y1" s="4" t="inlineStr">
        <is>
          <t>Mfr response (days)</t>
        </is>
      </c>
      <c r="Z1" s="4" t="inlineStr">
        <is>
          <t>No response = approved</t>
        </is>
      </c>
      <c r="AA1" s="4" t="inlineStr">
        <is>
          <t>Challenge standard</t>
        </is>
      </c>
      <c r="AB1" s="4" t="inlineStr">
        <is>
          <t>Challenge method</t>
        </is>
      </c>
      <c r="AC1" s="4" t="inlineStr">
        <is>
          <t>Dispute forum</t>
        </is>
      </c>
      <c r="AD1" s="4" t="inlineStr">
        <is>
          <t>Response quote</t>
        </is>
      </c>
      <c r="AE1" s="4" t="inlineStr">
        <is>
          <t>Response pinpoint</t>
        </is>
      </c>
      <c r="AF1" s="4" t="inlineStr">
        <is>
          <t>Private remedies</t>
        </is>
      </c>
      <c r="AG1" s="4" t="inlineStr">
        <is>
          <t>Admin sanctions</t>
        </is>
      </c>
      <c r="AH1" s="4" t="inlineStr">
        <is>
          <t>Penalty cites</t>
        </is>
      </c>
      <c r="AI1" s="4" t="inlineStr">
        <is>
          <t>All cites</t>
        </is>
      </c>
      <c r="AJ1" s="4" t="inlineStr">
        <is>
          <t>Official URL</t>
        </is>
      </c>
      <c r="AK1" s="4" t="inlineStr">
        <is>
          <t>Source type</t>
        </is>
      </c>
      <c r="AL1" s="4" t="inlineStr">
        <is>
          <t>Confidence</t>
        </is>
      </c>
      <c r="AM1" s="4" t="inlineStr">
        <is>
          <t>Last verified</t>
        </is>
      </c>
      <c r="AN1" s="4" t="inlineStr">
        <is>
          <t>Notes</t>
        </is>
      </c>
    </row>
    <row r="2">
      <c r="A2" s="6" t="inlineStr">
        <is>
          <t>AK</t>
        </is>
      </c>
      <c r="B2" s="6" t="inlineStr">
        <is>
          <t>Alaska</t>
        </is>
      </c>
      <c r="C2" s="6" t="n">
        <v>30</v>
      </c>
      <c r="D2" s="6" t="inlineStr">
        <is>
          <t>Yes</t>
        </is>
      </c>
      <c r="E2" s="6" t="n">
        <v>30</v>
      </c>
      <c r="F2" s="6" t="inlineStr">
        <is>
          <t>after approval</t>
        </is>
      </c>
      <c r="G2" s="6" t="inlineStr">
        <is>
          <t>within 90 days after the dealer completes the work</t>
        </is>
      </c>
      <c r="H2" s="6" t="inlineStr">
        <is>
          <t>The dealer may correct and resubmit a disapproved claim within 30 days after receiving the disapproval notice.</t>
        </is>
      </c>
      <c r="I2" s="6" t="inlineStr">
        <is>
          <t>Written or electronic notice stating the reasons for disapproval. A claim for a condition discovered and properly repaired during a separate repair may not be denied if the dealer documents the need.</t>
        </is>
      </c>
      <c r="J2" s="6" t="inlineStr">
        <is>
          <t>If a manufacturer does not disapprove a claim as required by this subsection, the claim is considered approved. The manufacturer shall pay the claim within 30 days after the approval of the claim.</t>
        </is>
      </c>
      <c r="K2" s="6" t="inlineStr">
        <is>
          <t>AS 45.25.200(c); see (a), (b), (d)</t>
        </is>
      </c>
      <c r="L2" s="6" t="n">
        <v>12</v>
      </c>
      <c r="M2" s="6" t="inlineStr">
        <is>
          <t>If the manufacturer reasonably suspects fraud, it may audit for fraudulent claims during any period in which a fraud action may be commenced.</t>
        </is>
      </c>
      <c r="N2" s="6" t="inlineStr">
        <is>
          <t>The audit must be initiated within 1 year after the claim was paid, and there may be no more than one warranty audit per calendar year. The statute limits audits and says nothing separately about chargebacks.</t>
        </is>
      </c>
      <c r="O2" s="6" t="inlineStr">
        <is>
          <t>A manufacturer may not initiate or conduct an audit to determine the validity of paid claims for new motor vehicle dealer warranty work unless the manufacturer initiates the audit within one year after the payment of the claim.</t>
        </is>
      </c>
      <c r="P2" s="6" t="inlineStr">
        <is>
          <t>AS 45.25.200(e); see (g)</t>
        </is>
      </c>
      <c r="Q2" s="6" t="inlineStr">
        <is>
          <t>not more than one rate increase in a calendar year</t>
        </is>
      </c>
      <c r="R2" s="6" t="inlineStr">
        <is>
          <t>No statutory labor-rate sample</t>
        </is>
      </c>
      <c r="S2" s="6" t="inlineStr"/>
      <c r="T2" s="6" t="inlineStr">
        <is>
          <t>Discounted / promotional; Routine maintenance; Tires; Prep / reconditioning; Insurance-paid; Other (see text)</t>
        </is>
      </c>
      <c r="U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V2" s="6" t="inlineStr">
        <is>
          <t>Deemed approved if not disapproved within 30 days after submission. (g) also says the markup may not take effect more than 30 days after approval.</t>
        </is>
      </c>
      <c r="W2" s="6" t="inlineStr">
        <is>
          <t>Unless otherwise agreed to by the manufacturer and the new motor vehicle dealer, the schedule of compensation may not contain (1) rates less than the rates that the new motor vehicle dealer charges retail customers for similar nonwarranty service work</t>
        </is>
      </c>
      <c r="X2" s="6" t="inlineStr">
        <is>
          <t>AS 45.25.210(c)(1); see (d), (f), (i), (j)</t>
        </is>
      </c>
      <c r="Y2" s="6" t="n">
        <v>30</v>
      </c>
      <c r="Z2" s="6" t="inlineStr">
        <is>
          <t>Yes</t>
        </is>
      </c>
      <c r="AA2" s="6" t="inlineStr">
        <is>
          <t>The rate is materially miscalculated, or unreasonable compared to other similarly situated new motor vehicle dealers in Alaska.</t>
        </is>
      </c>
      <c r="AB2" s="6" t="inlineStr">
        <is>
          <t>Disapproval within 30 days. The statute sets no content requirements for the disapproval.</t>
        </is>
      </c>
      <c r="AC2" s="6" t="inlineStr">
        <is>
          <t>Alaska courts, with venue in the dealer's judicial district (AS 45.25.020). Arbitration only if both parties agree (AS 45.25.190).</t>
        </is>
      </c>
      <c r="AD2" s="6" t="inlineStr">
        <is>
          <t>If a manufacturer does not disapprove the dealer's proposed rate within 30 days after the new motor vehicle dealer submits the rate application, then the dealer's proposed rate shall be considered approved.</t>
        </is>
      </c>
      <c r="AE2" s="6" t="inlineStr">
        <is>
          <t>AS 45.25.210(g); see (h)</t>
        </is>
      </c>
      <c r="AF2" s="6" t="inlineStr">
        <is>
          <t>No express damages or fee-shifting provision for AS 45.25.010-.310. Disputes are heard in Alaska courts (45.25.020), with optional arbitration (45.25.190). The UTPA cross-reference, AS 45.50.471(b)(43), reaches only AS 45.25.400-.590 (dealer practices).</t>
        </is>
      </c>
      <c r="AG2" s="6" t="inlineStr">
        <is>
          <t>None found. Ch. 45.25 has no manufacturer-licensing sanction.</t>
        </is>
      </c>
      <c r="AH2" s="6" t="inlineStr">
        <is>
          <t>AS 45.25.020, 45.25.190; AS 45.50.471(b)(43)</t>
        </is>
      </c>
      <c r="AI2" s="6" t="inlineStr">
        <is>
          <t>AS 45.25.210; AS 45.25.200 (claims, audits); AS 45.25.020, 45.25.190 (forum)</t>
        </is>
      </c>
      <c r="AJ2" s="6" t="inlineStr">
        <is>
          <t>https://www.akleg.gov/basis/statutes.asp?media=print&amp;secStart=45.25.200&amp;secEnd=45.25.320</t>
        </is>
      </c>
      <c r="AK2" s="6" t="inlineStr">
        <is>
          <t>official</t>
        </is>
      </c>
      <c r="AL2" s="6" t="inlineStr">
        <is>
          <t>high</t>
        </is>
      </c>
      <c r="AM2" s="6" t="inlineStr">
        <is>
          <t>2026-10-06</t>
        </is>
      </c>
      <c r="AN2" s="6" t="inlineStr">
        <is>
          <t>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is>
      </c>
    </row>
    <row r="3">
      <c r="A3" s="6" t="inlineStr">
        <is>
          <t>AL</t>
        </is>
      </c>
      <c r="B3" s="6" t="inlineStr">
        <is>
          <t>Alabama</t>
        </is>
      </c>
      <c r="C3" s="6" t="n">
        <v>30</v>
      </c>
      <c r="D3" s="6" t="inlineStr">
        <is>
          <t>Yes</t>
        </is>
      </c>
      <c r="E3" s="6" t="n">
        <v>30</v>
      </c>
      <c r="F3" s="6" t="inlineStr">
        <is>
          <t>after approval</t>
        </is>
      </c>
      <c r="G3" s="6" t="inlineStr"/>
      <c r="H3" s="6" t="inlineStr">
        <is>
          <t>After neglect, oversight or mistake, the dealer may file an amended claim, or a claim it missed filing within the warrantor's time limit, up to 120 days from the date the claim was first submitted or could have been submitted.</t>
        </is>
      </c>
      <c r="I3" s="6" t="inlineStr">
        <is>
          <t>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is>
      </c>
      <c r="J3" s="6" t="inlineStr">
        <is>
          <t>any claim not specifically disapproved in writing within 30 days after the receipt shall be construed to be approved and payment must follow within 30 days.</t>
        </is>
      </c>
      <c r="K3" s="6" t="inlineStr">
        <is>
          <t>§ 8-20-7(e)</t>
        </is>
      </c>
      <c r="L3" s="6" t="n">
        <v>12</v>
      </c>
      <c r="M3" s="6" t="inlineStr">
        <is>
          <t>No longer period for fraud. The statute gives the audit and chargeback right only for 'fraudulent claims', and only for 12 months.</t>
        </is>
      </c>
      <c r="N3" s="6" t="inlineStr">
        <is>
          <t>The warrantor may audit and charge back only fraudulent claims, for up to 12 months from the date the claim was paid. The statute grants no other chargeback ground. § 8-20-4(3)u has a parallel rule for incentive claims.</t>
        </is>
      </c>
      <c r="O3" s="6" t="inlineStr">
        <is>
          <t>the warrantor retains the right to audit such claims and to charge back the dealer for any fraudulent claims for a period not to exceed 12 months from the date the claim was paid.</t>
        </is>
      </c>
      <c r="P3" s="6" t="inlineStr">
        <is>
          <t>§ 8-20-7(e)</t>
        </is>
      </c>
      <c r="Q3" s="6" t="inlineStr">
        <is>
          <t>not more frequently than once per 12-month period</t>
        </is>
      </c>
      <c r="R3" s="6" t="inlineStr">
        <is>
          <t>100 ROs or 90 days (fewer of the two samples); ROs &lt;= 180 days old</t>
        </is>
      </c>
      <c r="S3" s="6" t="inlineStr">
        <is>
          <t>total charges for labor from the qualified repairs submitted ÷ total number of hours that produced those charges</t>
        </is>
      </c>
      <c r="T3" s="6" t="inlineStr">
        <is>
          <t>Discounted / promotional; Internal; Routine maintenance; Accessories; Tires; Alignments; Prep / reconditioning; State inspections; Government; Collision / body / glass; Insurance-paid; Goodwill; Other (see text)</t>
        </is>
      </c>
      <c r="U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V3" s="6" t="inlineStr">
        <is>
          <t>45 days after the warrantor receives the submission, unless the warrantor timely rebuts it</t>
        </is>
      </c>
      <c r="W3" s="6" t="inlineStr">
        <is>
          <t>The dealer shall calculate its labor rate by determining the total charges for labor from the qualified repairs submitted and dividing that amount by the total number of hours that produced the charges.</t>
        </is>
      </c>
      <c r="X3" s="6" t="inlineStr">
        <is>
          <t>§ 8-20-7(f)(3); see (f)(2) (sample), (f)(4) (frequency), (f)(5) (exclusions)</t>
        </is>
      </c>
      <c r="Y3" s="6" t="n">
        <v>45</v>
      </c>
      <c r="Z3" s="6" t="inlineStr">
        <is>
          <t>Yes</t>
        </is>
      </c>
      <c r="AA3" s="6" t="inlineStr">
        <is>
          <t>Within 45 days the warrantor must reasonably substantiate that the submission is materially incomplete, materially inaccurate, or materially unreasonable. One relevant factor is the prevailing wage rates paid by similarly situated dealers in the state ((f)(8)).</t>
        </is>
      </c>
      <c r="AB3" s="6" t="inlineStr">
        <is>
          <t>One rebuttal only, with a full explanation, evidence for each reason, a copy of all calculations and a proposed adjusted rate. The rebuttal cannot be expanded later except for information the warrantor did not have at the time, or information used to answer the dealer's response to the rebuttal. If the rate is substantially higher or lower than the rate on record, the warrantor may request ROs for 60 days before or after the submitted period, and then has 45 days from receiving them to rebut.</t>
        </is>
      </c>
      <c r="AC3" s="6" t="inlineStr">
        <is>
          <t>Court action by the dealer within 120 days of the written rejection. The warrantor bears the burden by a preponderance. A dealer win is retroactive to 45 days after the original submission.</t>
        </is>
      </c>
      <c r="AD3" s="6" t="inlineStr">
        <is>
          <t>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is>
      </c>
      <c r="AE3" s="6" t="inlineStr">
        <is>
          <t>§ 8-20-7(f)(6)a.; see (f)(6)b., (f)(7), (f)(8)</t>
        </is>
      </c>
      <c r="AF3" s="6" t="inlineStr">
        <is>
          <t>Civil action to enjoin violations and recover damages plus costs, including a reasonable attorney's fee (§ 8-20-11). Four-year limitations period, with accrual on discovery (§ 8-20-12). Rate disputes go to court under § 8-20-7(f)(7).</t>
        </is>
      </c>
      <c r="AG3" s="6" t="inlineStr">
        <is>
          <t>None in ch. 20. The chapter has no licensing-agency sanction provision.</t>
        </is>
      </c>
      <c r="AH3" s="6" t="inlineStr">
        <is>
          <t>Ala. Code §§ 8-20-11, 8-20-12, 8-20-7(f)(7)</t>
        </is>
      </c>
      <c r="AI3" s="6" t="inlineStr">
        <is>
          <t>Ala. Code § 8-20-7; Ala. Code § 8-20-7(e) (claims, audit/chargeback); Ala. Code §§ 8-20-11, 8-20-12 (remedies, limitations)</t>
        </is>
      </c>
      <c r="AJ3" s="6" t="inlineStr">
        <is>
          <t>https://alison.legislature.state.al.us/code-of-alabama?section=8-20-7</t>
        </is>
      </c>
      <c r="AK3" s="6" t="inlineStr">
        <is>
          <t>official</t>
        </is>
      </c>
      <c r="AL3" s="6" t="inlineStr">
        <is>
          <t>high</t>
        </is>
      </c>
      <c r="AM3" s="6" t="inlineStr">
        <is>
          <t>2026-10-06</t>
        </is>
      </c>
      <c r="AN3" s="6" t="inlineStr">
        <is>
          <t>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is>
      </c>
    </row>
    <row r="4">
      <c r="A4" s="6" t="inlineStr">
        <is>
          <t>AR</t>
        </is>
      </c>
      <c r="B4" s="6" t="inlineStr">
        <is>
          <t>Arkansas</t>
        </is>
      </c>
      <c r="C4" s="6" t="n">
        <v>30</v>
      </c>
      <c r="D4" s="6" t="inlineStr">
        <is>
          <t>Yes</t>
        </is>
      </c>
      <c r="E4" s="6" t="n">
        <v>30</v>
      </c>
      <c r="F4" s="6" t="inlineStr">
        <is>
          <t>after approval</t>
        </is>
      </c>
      <c r="G4" s="6" t="inlineStr"/>
      <c r="H4" s="6" t="inlineStr">
        <is>
          <t>The dealer may correct and resubmit a disapproved claim within 30 days of receiving the disapproval.</t>
        </is>
      </c>
      <c r="I4" s="6" t="inlineStr">
        <is>
          <t>Written notice within the 30-day period stating the specific grounds (§ 313(e)(2)(A)(i); § 310(d)(2)(B)). A claim may not be disapproved for a clerical error that does not make the claim amount incorrect, including errors from the manufacturer's prior-approval process (§ 313(e)(3)(A)). The manufacturer must pay for warranty work properly performed in accordance with its requirements (§ 310(d)(3)). The dealer may contest a disapproval through the manufacturer's appeals process (§ 313(e)(3)(B)).</t>
        </is>
      </c>
      <c r="J4" s="6" t="inlineStr">
        <is>
          <t>Any claims not specifically disapproved in writing within thirty (30) days from their submission shall be deemed approved, and payment shall follow within thirty (30) days.</t>
        </is>
      </c>
      <c r="K4" s="6" t="inlineStr">
        <is>
          <t>§ 23-112-313(e)(2)(B); see (e)(1)-(3) and § 23-112-310(d)(2)(A)-(B) (pay within 30 days following approval)</t>
        </is>
      </c>
      <c r="L4" s="6" t="n">
        <v>12</v>
      </c>
      <c r="M4" s="6" t="inlineStr">
        <is>
          <t>A fraudulent claim may be charged back within 2 years of the claim date, but only if the manufacturer establishes the fraud in an Arkansas court.</t>
        </is>
      </c>
      <c r="N4" s="6" t="inlineStr">
        <is>
          <t>The manufacturer or franchiser may audit warranty and recall claims within one year from the date the claim was paid or credit issued; incentive and reimbursement programs are auditable for 12 months after the date of the transactions. Only false or unsubstantiated claims may be charged back. The dealer may appeal any chargeback to the Arkansas Motor Vehicle Commission within 90 days of notification; once an appeal is filed the chargeback may not be levied until the appeal is resolved, and the Commission must hold a hearing within 120 days of filing unless all parties have agreed to settle. The one-year period is stated for the audit; no separate deadline is stated for levying the chargeback.</t>
        </is>
      </c>
      <c r="O4" s="6" t="inlineStr">
        <is>
          <t>Audit the claims within a one-year period from the date the claim was paid or credit issued by the manufacturer or franchiser; and (iii) Charge back any false or unsubstantiated claims.</t>
        </is>
      </c>
      <c r="P4" s="6" t="inlineStr">
        <is>
          <t>§ 23-112-313(e)(4)(A)(ii)-(iii); see (e)(4)(C)-(D)</t>
        </is>
      </c>
      <c r="Q4" s="6" t="inlineStr"/>
      <c r="R4" s="6" t="inlineStr">
        <is>
          <t>100 ROs or 90 days (fewer of the two samples); ROs &lt;= 180 days old</t>
        </is>
      </c>
      <c r="S4" s="6" t="inlineStr">
        <is>
          <t>dealer's total labor sales from qualified ROs ÷ total labor hours that generated those labor charges</t>
        </is>
      </c>
      <c r="T4" s="6" t="inlineStr">
        <is>
          <t>Routine maintenance; Tires; Other (see text)</t>
        </is>
      </c>
      <c r="U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V4" s="6" t="inlineStr">
        <is>
          <t>The statute sets no effective-date rule. A change request is approved if the manufacturer does not act within 45 days.</t>
        </is>
      </c>
      <c r="W4" s="6" t="inlineStr">
        <is>
          <t>The motor vehicle dealer shall calculate the labor rate by dividing the amount of the motor vehicle dealer's total labor sales from any qualified repair orders by the total labor hours that generated the labor charges</t>
        </is>
      </c>
      <c r="X4" s="6" t="inlineStr">
        <is>
          <t>§ 23-112-313(c)(4); see (c)(6), (f)</t>
        </is>
      </c>
      <c r="Y4" s="6" t="n">
        <v>45</v>
      </c>
      <c r="Z4" s="6" t="inlineStr">
        <is>
          <t>Yes</t>
        </is>
      </c>
      <c r="AA4" s="6" t="inlineStr">
        <is>
          <t>The retail-rate floor applies only 'provided the rate is reasonable compared to other same line-make dealers in the dealer's relevant market area or the dealer's competitive market area' (§ 310(d)(1)(A)). § 313(c)(3) adds 'provided the rate is reasonable'.</t>
        </is>
      </c>
      <c r="AB4" s="6" t="inlineStr">
        <is>
          <t>Approve or disapprove within 45 days. If the ROs show a rate substantially higher or lower than the rate on record, the manufacturer may request additional documentation covering 45 days before or after the submitted period.</t>
        </is>
      </c>
      <c r="AC4" s="6" t="inlineStr">
        <is>
          <t>Not specified for rate disputes. Commission hearings (§ 23-112-501 et seq.) are named only for chargeback appeals; the damages action is in § 23-112-105.</t>
        </is>
      </c>
      <c r="AD4" s="6" t="inlineStr">
        <is>
          <t>A request submitted under subdivision (d)(1)(D)(i) of this section is approved if a manufacturer, distributor, distributor branch or division, or factory or division branch fails to approve or disapprove the request within forty-five (45) days</t>
        </is>
      </c>
      <c r="AE4" s="6" t="inlineStr">
        <is>
          <t>§ 23-112-310(d)(1)(D)(ii); see (d)(1)(A), (D)(i), (D)(iii)</t>
        </is>
      </c>
      <c r="AF4" s="6" t="inlineStr">
        <is>
          <t>A licensee suffering pecuniary loss from another licensee's willful failure to comply may recover reasonable damages and attorney's fees (§ 23-112-105(a)). A dealer that prevails against a manufacturer also has an action for attorney's fees (§ 23-112-105(b)).</t>
        </is>
      </c>
      <c r="AG4" s="6" t="inlineStr">
        <is>
          <t>The Commission may deny, suspend or revoke a license on satisfactory proof that a manufacturer 'unfairly and without due regard to the equities of the parties or to the detriment of the public welfare' failed to properly fulfill any warranty agreement or to adequately and fairly compensate dealers for labor, parts or incidental expenses under factory warranty agreements (§ 23-112-308(a)(18)(A)). A monetary penalty may be imposed instead, only if the Commission finds the public interest would not be impaired: up to $10,000 in place of revocation, or $50-$500 per day capped at $5,000 in place of suspension. Each instance is a separate violation (§ 23-112-309(a)(3), (b), (d)).</t>
        </is>
      </c>
      <c r="AH4" s="6" t="inlineStr">
        <is>
          <t>Ark. Code Ann. §§ 23-112-105, 23-112-308, 23-112-309</t>
        </is>
      </c>
      <c r="AI4" s="6" t="inlineStr">
        <is>
          <t>Ark. Code Ann. § 23-112-313; Ark. Code Ann. § 23-112-310(d) (rate floor, rate-change requests, claim payment); Ark. Code Ann. §§ 23-112-105, 23-112-308, 23-112-309 (remedies/sanctions)</t>
        </is>
      </c>
      <c r="AJ4" s="6" t="inlineStr">
        <is>
          <t>https://arkleg.state.ar.us/Acts/FTPDocument?path=%2FACTS%2F2021R%2FPublic%2F&amp;file=1077.pdf&amp;ddBienniumSession=2021%2F2021R</t>
        </is>
      </c>
      <c r="AK4" s="6" t="inlineStr">
        <is>
          <t>enrolled_act</t>
        </is>
      </c>
      <c r="AL4" s="6" t="inlineStr">
        <is>
          <t>medium</t>
        </is>
      </c>
      <c r="AM4" s="6" t="inlineStr">
        <is>
          <t>2026-10-23</t>
        </is>
      </c>
      <c r="AN4" s="6" t="inlineStr">
        <is>
          <t>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 23-112-308 was amended by Act 816 of 2025 (eff. 8/5/2025) only in (a)(25) (temporary tags, dealer extra plates); the warranty ground in (a)(18) is unchanged. Motorcycles/ATVs have a separate floor (§ 310(d)(1)(C)). Motor-home/RV warrantor rules are in subchapter 10 (e.g., § 23-112-1016). No frequency limit on rate requests was found.</t>
        </is>
      </c>
    </row>
    <row r="5">
      <c r="A5" s="6" t="inlineStr">
        <is>
          <t>AZ</t>
        </is>
      </c>
      <c r="B5" s="6" t="inlineStr">
        <is>
          <t>Arizona</t>
        </is>
      </c>
      <c r="C5" s="6" t="n">
        <v>30</v>
      </c>
      <c r="D5" s="6" t="inlineStr">
        <is>
          <t>Yes</t>
        </is>
      </c>
      <c r="E5" s="6" t="n">
        <v>30</v>
      </c>
      <c r="F5" s="6" t="inlineStr">
        <is>
          <t>after approval</t>
        </is>
      </c>
      <c r="G5" s="6" t="inlineStr"/>
      <c r="H5" s="6" t="inlineStr">
        <is>
          <t>If a claim is rejected for an incidental processing requirement, the dealer may correct or complete and resubmit it within 60 days after receiving first notice of the failure.</t>
        </is>
      </c>
      <c r="I5" s="6" t="inlineStr">
        <is>
          <t>Disapproval must be in writing or by electronic transmission. A properly submitted claim may not be denied solely for an incidental failure to meet a claim-processing requirement that does not question the claim's legitimacy.</t>
        </is>
      </c>
      <c r="J5" s="6" t="inlineStr">
        <is>
          <t>Any claim not disapproved in writing or by means of electronic transmission within thirty days after receipt is deemed approved, and payment must be made within thirty days after approval.</t>
        </is>
      </c>
      <c r="K5" s="6" t="inlineStr">
        <is>
          <t>§ 28-4451(I); see (L)</t>
        </is>
      </c>
      <c r="L5" s="6" t="n">
        <v>12</v>
      </c>
      <c r="M5" s="6" t="inlineStr">
        <is>
          <t>The 12-month limit does not apply if the manufacturer reasonably suspects fraud.</t>
        </is>
      </c>
      <c r="N5" s="6" t="inlineStr">
        <is>
          <t>Audits must be 'reasonable and periodic'. A chargeback is allowed only after the dealer has had notice and a chance to use any available manufacturer mediation, and after all legal appeals are exhausted if mediation fails.</t>
        </is>
      </c>
      <c r="O5" s="6" t="inlineStr">
        <is>
          <t>Audits shall only be for the twelve month period immediately following the date of the payment. This limitation does not apply if the manufacturer, factory branch, distributor or distributor branch reasonably suspects fraud.</t>
        </is>
      </c>
      <c r="P5" s="6" t="inlineStr">
        <is>
          <t>§ 28-4451(G)</t>
        </is>
      </c>
      <c r="Q5" s="6" t="inlineStr">
        <is>
          <t>not more than once in any twelve-month period</t>
        </is>
      </c>
      <c r="R5" s="6" t="inlineStr">
        <is>
          <t>100 ROs or 90 days (fewer of the two samples); ROs &lt;= 180 days old</t>
        </is>
      </c>
      <c r="S5" s="6" t="inlineStr">
        <is>
          <t>dealer's total labor sales in the submitted ROs ÷ total labor hours that generated those sales</t>
        </is>
      </c>
      <c r="T5" s="6" t="inlineStr">
        <is>
          <t>Discounted / promotional; Engine / transmission assembly; Routine maintenance; Prep / reconditioning; Other (see text)</t>
        </is>
      </c>
      <c r="U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V5" s="6" t="inlineStr">
        <is>
          <t>30 days after the manufacturer receives the declaration, unless it sends a timely rebuttal</t>
        </is>
      </c>
      <c r="W5" s="6" t="inlineStr">
        <is>
          <t>The new motor vehicle dealer's retail labor rate shall be determined by dividing the amount of the dealer's total labor sales contained in the submitted repair orders by the total number of labor hours that generated those sales.</t>
        </is>
      </c>
      <c r="X5" s="6" t="inlineStr">
        <is>
          <t>§ 28-4451(E); see (F), (K)</t>
        </is>
      </c>
      <c r="Y5" s="6" t="n">
        <v>30</v>
      </c>
      <c r="Z5" s="6" t="inlineStr">
        <is>
          <t>Yes</t>
        </is>
      </c>
      <c r="AA5" s="6" t="inlineStr">
        <is>
          <t>Declared rates are presumed fair and reasonable. To rebut, the manufacturer must reasonably substantiate that the rate is inaccurate or unreasonable compared to other similarly situated same line-make new motor vehicle dealers in Arizona.</t>
        </is>
      </c>
      <c r="AB5" s="6" t="inlineStr">
        <is>
          <t>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is>
      </c>
      <c r="AC5" s="6" t="inlineStr">
        <is>
          <t>Dealer protest to the ADOT director within 30 days after receiving the proposal. An ALJ hearing is held within 75 days of the hearing order, after any available manufacturer mediation. Appeal to superior court under title 12, ch. 7, art. 6, with a bond.</t>
        </is>
      </c>
      <c r="AD5" s="6" t="inlineStr">
        <is>
          <t>within thirty days after receiving the new motor vehicle dealer's submission, may rebut the presumption by reasonably substantiating that the rate or rates are inaccurate or unreasonable compared to other similarly situated same line-make new motor vehicle dealers</t>
        </is>
      </c>
      <c r="AE5" s="6" t="inlineStr">
        <is>
          <t>§ 28-4451(E); see (K), (O)-(T)</t>
        </is>
      </c>
      <c r="AF5" s="6" t="inlineStr">
        <is>
          <t>Rate disputes go through the director's protest and ALJ process, with judicial review (§ 28-4451(E), (O)-(T)). No express private damages provision was found in §§ 28-4451 to 28-4464.</t>
        </is>
      </c>
      <c r="AG5" s="6" t="inlineStr">
        <is>
          <t>The ADOT director may suspend or cancel the license of a licensee that 'has violated or is violating a law of this state' (§ 28-4493(A)(3)). Injunction action against a licensee in Maricopa County superior court (§ 28-4497).</t>
        </is>
      </c>
      <c r="AH5" s="6" t="inlineStr">
        <is>
          <t>A.R.S. §§ 28-4451(O)-(T), 28-4493(A)(3), 28-4497</t>
        </is>
      </c>
      <c r="AI5" s="6" t="inlineStr">
        <is>
          <t>A.R.S. § 28-4451(C)-(F), (K); A.R.S. § 28-4451(G)-(I), (L) (audits, claims); A.R.S. §§ 28-4493, 28-4497 (license sanctions, injunction)</t>
        </is>
      </c>
      <c r="AJ5" s="6" t="inlineStr">
        <is>
          <t>https://www.azleg.gov/ars/28/04451.htm</t>
        </is>
      </c>
      <c r="AK5" s="6" t="inlineStr">
        <is>
          <t>official</t>
        </is>
      </c>
      <c r="AL5" s="6" t="inlineStr">
        <is>
          <t>high</t>
        </is>
      </c>
      <c r="AM5" s="6" t="inlineStr">
        <is>
          <t>2026-09-25</t>
        </is>
      </c>
      <c r="AN5" s="6" t="inlineStr">
        <is>
          <t>(K)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is>
      </c>
    </row>
    <row r="6">
      <c r="A6" s="6" t="inlineStr">
        <is>
          <t>CA</t>
        </is>
      </c>
      <c r="B6" s="6" t="inlineStr">
        <is>
          <t>California</t>
        </is>
      </c>
      <c r="C6" s="6" t="n">
        <v>30</v>
      </c>
      <c r="D6" s="6" t="inlineStr">
        <is>
          <t>Yes</t>
        </is>
      </c>
      <c r="E6" s="6" t="n">
        <v>30</v>
      </c>
      <c r="F6" s="6" t="inlineStr">
        <is>
          <t>after approval</t>
        </is>
      </c>
      <c r="G6" s="6" t="inlineStr"/>
      <c r="H6" s="6" t="inlineStr">
        <is>
          <t>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is>
      </c>
      <c r="I6" s="6" t="inlineStr">
        <is>
          <t>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is>
      </c>
      <c r="J6" s="6" t="inlineStr">
        <is>
          <t>within 30 days from receipt by the franchisor shall be deemed approved on the 30th day. All claims made by franchisees under this section and Section 3064 for labor and parts shall be paid within 30 days after approval.</t>
        </is>
      </c>
      <c r="K6" s="6" t="inlineStr">
        <is>
          <t>§ 3065(d)(1); see (d)(2)-(6)</t>
        </is>
      </c>
      <c r="L6" s="6" t="n">
        <v>9</v>
      </c>
      <c r="M6" s="6" t="inlineStr">
        <is>
          <t>For a false claim submitted with intent to defraud, a longer audit and chargeback period is allowed only if the franchisor obtains a Board order.</t>
        </is>
      </c>
      <c r="N6" s="6" t="inlineStr">
        <is>
          <t>Audits on a reasonable basis, never punitive, retaliatory or unfairly discriminatory, and no more than one random audit per 9 months (any additional audit needs written disclosure of its basis). Chargeback grounds are the same four as the denial grounds. No extrapolation unless the sample is random and the method statistically valid. Written notice of specific grounds within 30 days after the audit, then at least 30 days (scaled to claim volume) to rebut or cure. No chargeback until 45 days after the later of the disapproval or Final Denial notice, and it must be taken within 90 days of that notice. A Board protest filed within 6 months of that notice (or the end of the appeal process) and before the chargeback stays offset or collection until the Board's final order, after which the franchisor has 90 days.</t>
        </is>
      </c>
      <c r="O6" s="6" t="inlineStr">
        <is>
          <t>Audits of franchisee warranty records may be conducted by the franchisor on a reasonable basis for a period of nine months after a claim is paid or credit issued.</t>
        </is>
      </c>
      <c r="P6" s="6" t="inlineStr">
        <is>
          <t>§ 3065(e)(1); see (e)(2)-(6), (f)</t>
        </is>
      </c>
      <c r="Q6" s="6" t="inlineStr">
        <is>
          <t>no more frequently than once per calendar year</t>
        </is>
      </c>
      <c r="R6" s="6" t="inlineStr">
        <is>
          <t>100 ROs or 90 days (fewer of the two samples); ROs &lt;= 180 days old</t>
        </is>
      </c>
      <c r="S6" s="6" t="inlineStr">
        <is>
          <t>total charges for labor from the qualified ROs submitted ÷ total number of hours that generated those charges</t>
        </is>
      </c>
      <c r="T6" s="6" t="inlineStr">
        <is>
          <t>Discounted / promotional; Routine maintenance; Prep / reconditioning; Accessories; Collision / body / glass; Insurance-paid; State inspections; Goodwill; Government; Service-contract paid; Tires; Alignments; Internal; Other (see text)</t>
        </is>
      </c>
      <c r="U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V6" s="6" t="inlineStr">
        <is>
          <t>on the 30th day after the franchisor receives the notice, if uncontested</t>
        </is>
      </c>
      <c r="W6" s="6" t="inlineStr">
        <is>
          <t>The franchisee shall calculate its retail labor rate by determining the total charges for labor from the qualified repair orders submitted and dividing that amount by the total number of hours that generated those charges.</t>
        </is>
      </c>
      <c r="X6" s="6" t="inlineStr">
        <is>
          <t>§ 3065.2(a)(2); see (a)(1), (b), (c), (j)</t>
        </is>
      </c>
      <c r="Y6" s="6" t="n">
        <v>30</v>
      </c>
      <c r="Z6" s="6" t="inlineStr">
        <is>
          <t>Yes</t>
        </is>
      </c>
      <c r="AA6" s="6" t="inlineStr">
        <is>
          <t>Material accuracy only. The notice must be limited to an assertion that the rate is 'materially inaccurate or fraudulent', and the franchisor 'shall not deny' the submission.</t>
        </is>
      </c>
      <c r="AB6" s="6" t="inlineStr">
        <is>
          <t>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is>
      </c>
      <c r="AC6" s="6" t="inlineStr">
        <is>
          <t>New Motor Vehicle Board protest (§ 3065.4), with the burden on the franchisor. The Board may compute arrears from 30 days after the submission. Enforcement in superior court.</t>
        </is>
      </c>
      <c r="AD6" s="6" t="inlineStr">
        <is>
          <t>The notification shall be limited to an assertion that the rate is materially inaccurate or fraudulent, and shall provide a full explanation of any and all reasons for the allegation, evidence substantiating the franchisor’s position</t>
        </is>
      </c>
      <c r="AE6" s="6" t="inlineStr">
        <is>
          <t>§ 3065.2(d)(1); see (d)(3)-(5), (e); § 3065.4(a)</t>
        </is>
      </c>
      <c r="AF6" s="6" t="inlineStr">
        <is>
          <t>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is>
      </c>
      <c r="AG6" s="6" t="inlineStr">
        <is>
          <t>DMV may suspend or revoke a manufacturer's or distributor's license for willful violation of § 3065 (§ 11705(a)(7)). Failure to file required schedules with the Board can lead it to order DMV license action (13 CCR § 593.3).</t>
        </is>
      </c>
      <c r="AH6" s="6" t="inlineStr">
        <is>
          <t>Cal. Veh. Code §§ 3065.4, 11705(a)(7), 11726</t>
        </is>
      </c>
      <c r="AI6" s="6" t="inlineStr">
        <is>
          <t>Cal. Veh. Code § 3065; Cal. Veh. Code § 3065.2 (retail labor/parts rate); Cal. Veh. Code §§ 3065.4, 11705(a)(7), 11726</t>
        </is>
      </c>
      <c r="AJ6" s="6" t="inlineStr">
        <is>
          <t>https://leginfo.legislature.ca.gov/faces/codes_displaySection.xhtml?lawCode=VEH&amp;sectionNum=3065</t>
        </is>
      </c>
      <c r="AK6" s="6" t="inlineStr">
        <is>
          <t>official</t>
        </is>
      </c>
      <c r="AL6" s="6" t="inlineStr">
        <is>
          <t>high</t>
        </is>
      </c>
      <c r="AM6" s="6" t="inlineStr">
        <is>
          <t>2026-10-23</t>
        </is>
      </c>
      <c r="AN6" s="6" t="inlineStr">
        <is>
          <t>'Warranty'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 Franchisors must file warranty reimbursement schedules with the New Motor Vehicle Board within 30 days after license issuance or renewal, and any change on or before its effective date (13 CCR § 586(b)-(c)).</t>
        </is>
      </c>
    </row>
    <row r="7">
      <c r="A7" s="6" t="inlineStr">
        <is>
          <t>CO</t>
        </is>
      </c>
      <c r="B7" s="6" t="inlineStr">
        <is>
          <t>Colorado</t>
        </is>
      </c>
      <c r="C7" s="6" t="inlineStr"/>
      <c r="D7" s="6" t="inlineStr">
        <is>
          <t>Silent</t>
        </is>
      </c>
      <c r="E7" s="6" t="inlineStr"/>
      <c r="F7" s="6" t="inlineStr"/>
      <c r="G7" s="6" t="inlineStr">
        <is>
          <t>9 months after making the sale or providing the service</t>
        </is>
      </c>
      <c r="H7" s="6" t="inlineStr"/>
      <c r="I7" s="6" t="inlineStr"/>
      <c r="J7" s="6" t="inlineStr">
        <is>
          <t>The motor vehicle dealer shall have nine months after making a sale or providing service to submit warranty, sales, or incentive claims to the manufacturer, distributor, or manufacturer representative.</t>
        </is>
      </c>
      <c r="K7" s="6" t="inlineStr">
        <is>
          <t>§ 44-20-135(2). No approval or payment clock was found in part 1; § 44-20-141.5(2) says only that the manufacturer shall 'timely compensate'.</t>
        </is>
      </c>
      <c r="L7" s="6" t="n">
        <v>9</v>
      </c>
      <c r="M7" s="6" t="inlineStr">
        <is>
          <t>Subsection (1) does not limit any fraud action brought in court ((3)).</t>
        </is>
      </c>
      <c r="N7" s="6" t="inlineStr">
        <is>
          <t>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is>
      </c>
      <c r="O7" s="6" t="inlineStr">
        <is>
          <t>A manufacturer, distributor, or manufacturer representative shall have the right to audit warranty, sales, or incentive claims of a motor vehicle dealer for nine months after the date the claim was submitted.</t>
        </is>
      </c>
      <c r="P7" s="6" t="inlineStr">
        <is>
          <t>§ 44-20-135(1)(a); see (1)(b), (3), (4)</t>
        </is>
      </c>
      <c r="Q7" s="6" t="inlineStr">
        <is>
          <t>increase requests not more often than once annually (labor and parts each)</t>
        </is>
      </c>
      <c r="R7" s="6" t="inlineStr">
        <is>
          <t>100 ROs or 90 days (dealer chooses); ROs &lt;= 90 days old</t>
        </is>
      </c>
      <c r="S7" s="6" t="inlineStr">
        <is>
          <t>total nonwarranty labor sales from the submitted nonwarranty repairs ÷ total labor hours that generated those sales</t>
        </is>
      </c>
      <c r="T7" s="6" t="inlineStr">
        <is>
          <t>Discounted / promotional; Routine maintenance; Tires; Internal; Prep / reconditioning; Goodwill; State inspections; Fleet; Government; Insurance-paid; Other (see text)</t>
        </is>
      </c>
      <c r="U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V7" s="6" t="inlineStr">
        <is>
          <t>45 days after the manufacturer receives the submission if uncontested. A rate set by a court or the executive director is retroactive to 30 days after the manufacturer received the submission.</t>
        </is>
      </c>
      <c r="W7" s="6" t="inlineStr">
        <is>
          <t>A motor vehicle dealer may establish the retail labor rate and the retail parts markup percentage by submitting to the manufacturer either of the following as decided by the motor vehicle dealer:</t>
        </is>
      </c>
      <c r="X7" s="6" t="inlineStr">
        <is>
          <t>§ 44-20-141.5(3)(a); see (3)(c)-(d), (4)(a), (4)(c), (5)(b)</t>
        </is>
      </c>
      <c r="Y7" s="6" t="n">
        <v>45</v>
      </c>
      <c r="Z7" s="6" t="inlineStr">
        <is>
          <t>Yes</t>
        </is>
      </c>
      <c r="AA7" s="6" t="inlineStr">
        <is>
          <t>Material inaccuracy only. SB 23-078 removed the 'substantially different from similarly situated dealers' ground.</t>
        </is>
      </c>
      <c r="AB7" s="6" t="inlineStr">
        <is>
          <t>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is>
      </c>
      <c r="AC7" s="6" t="inlineStr">
        <is>
          <t>The dealer files a complaint in a court of competent jurisdiction or with the DOR executive director within 60 days after receiving the challenge. The result is retroactive, and the court awards the prevailing party attorney fees and costs.</t>
        </is>
      </c>
      <c r="AD7" s="6" t="inlineStr">
        <is>
          <t>is deemed materially inaccurate, a manufacturer may contest the motor vehicle dealer’s submitted calculations of the retail labor rate or retail parts markup percentage by delivering a notice to the motor vehicle dealer within forty-five days</t>
        </is>
      </c>
      <c r="AE7" s="6" t="inlineStr">
        <is>
          <t>§ 44-20-141.5(6)(a)(I); see (6)(b)-(d), (3)(c)</t>
        </is>
      </c>
      <c r="AF7" s="6" t="inlineStr">
        <is>
          <t>In a rate proceeding the court awards the prevailing party reasonable attorney fees and costs, and a prevailing dealer recovers the full unpaid reimbursement as damages (§ 44-20-141.5(6)(d)). Chargebacks that violate § 44-20-135(1) are void on the executive director's determination (§ 44-20-135(4)).</t>
        </is>
      </c>
      <c r="AG7" s="6" t="inlineStr">
        <is>
          <t>A manufacturer's or distributor's license may be denied, suspended or revoked for 'Willful failure to comply with this part 1' (§ 44-20-121(1)(b)). Willfully violating part 1 is a class 2 misdemeanor (§ 44-20-128(1)).</t>
        </is>
      </c>
      <c r="AH7" s="6" t="inlineStr">
        <is>
          <t>C.R.S. §§ 44-20-141.5(6)(d), 44-20-135(4), 44-20-121(1)(b), 44-20-128(1)</t>
        </is>
      </c>
      <c r="AI7" s="6" t="inlineStr">
        <is>
          <t>C.R.S. § 44-20-141.5; C.R.S. § 44-20-135 (claim filing, audits, chargebacks); C.R.S. §§ 44-20-121(1)(b), 44-20-128 (sanctions)</t>
        </is>
      </c>
      <c r="AJ7" s="6" t="inlineStr">
        <is>
          <t>https://content.leg.colorado.gov/sites/default/files/2023a_078_signed.pdf</t>
        </is>
      </c>
      <c r="AK7" s="6" t="inlineStr">
        <is>
          <t>mirror</t>
        </is>
      </c>
      <c r="AL7" s="6" t="inlineStr">
        <is>
          <t>medium</t>
        </is>
      </c>
      <c r="AM7" s="6" t="inlineStr">
        <is>
          <t>2026-10-06</t>
        </is>
      </c>
      <c r="AN7" s="6" t="inlineStr">
        <is>
          <t>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is>
      </c>
    </row>
    <row r="8">
      <c r="A8" s="6" t="inlineStr">
        <is>
          <t>CT</t>
        </is>
      </c>
      <c r="B8" s="6" t="inlineStr">
        <is>
          <t>Connecticut</t>
        </is>
      </c>
      <c r="C8" s="6" t="n">
        <v>30</v>
      </c>
      <c r="D8" s="6" t="inlineStr">
        <is>
          <t>Yes</t>
        </is>
      </c>
      <c r="E8" s="6" t="n">
        <v>30</v>
      </c>
      <c r="F8" s="6" t="inlineStr">
        <is>
          <t>after approval</t>
        </is>
      </c>
      <c r="G8" s="6" t="inlineStr"/>
      <c r="H8" s="6" t="inlineStr">
        <is>
          <t>The dealer may resubmit under reasonable manufacturer guidelines not later than 30 days after the initial denial or charge-back.</t>
        </is>
      </c>
      <c r="I8" s="6" t="inlineStr">
        <is>
          <t>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is>
      </c>
      <c r="J8" s="6" t="inlineStr">
        <is>
          <t>Any claim not disapproved in writing or by means of electronic transmission not later than thirty days after receipt shall be deemed approved and payment shall be made within thirty days.</t>
        </is>
      </c>
      <c r="K8" s="6" t="inlineStr">
        <is>
          <t>§ 42-133s(j)</t>
        </is>
      </c>
      <c r="L8" s="6" t="n">
        <v>12</v>
      </c>
      <c r="M8" s="6" t="inlineStr">
        <is>
          <t>If there is evidence of fraud, the one-year limit does not restrict longer audits or charge-back of any fraudulent claim.</t>
        </is>
      </c>
      <c r="N8" s="6" t="inlineStr">
        <is>
          <t>Charge-back only for false or unsubstantiated claims, within one year after payment. No charge-back after a timely audit based solely on processing, clerical or administrative technicalities. From Oct. 1, 2026, no offset or charge-back of used-vehicle stop-sale compensation because the dealer filed a claim, unless applied uniformly to all same line-make dealers in the state (P.A. 26-24 § 22(g)).</t>
        </is>
      </c>
      <c r="O8" s="6" t="inlineStr">
        <is>
          <t>manufacturers or distributors retain the right to audit such claims and to charge-back the dealer for false or unsubstantiated claims for a period of one year following payment.</t>
        </is>
      </c>
      <c r="P8" s="6" t="inlineStr">
        <is>
          <t>§ 42-133s(j)</t>
        </is>
      </c>
      <c r="Q8" s="6" t="inlineStr">
        <is>
          <t>not more than twice in one calendar year</t>
        </is>
      </c>
      <c r="R8" s="6" t="inlineStr">
        <is>
          <t>All qualifying ROs, prior calendar month</t>
        </is>
      </c>
      <c r="S8" s="6" t="inlineStr">
        <is>
          <t>dealer's total labor sales ÷ total labor hours that generated those sales</t>
        </is>
      </c>
      <c r="T8" s="6" t="inlineStr">
        <is>
          <t>Discounted / promotional; Engine / transmission assembly; Routine maintenance; Tires; Prep / reconditioning; Other (see text)</t>
        </is>
      </c>
      <c r="U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V8" s="6" t="inlineStr">
        <is>
          <t>30 days after the declaration, subject to franchisor audit of the submitted ROs and rebuttal</t>
        </is>
      </c>
      <c r="W8" s="6" t="inlineStr">
        <is>
          <t>The retail rate customarily charged by the dealer for labor may be established by submitting to the manufacturer or distributor all nonwarranty customer-paid service repair orders covering repairs made during the month prior to the submission</t>
        </is>
      </c>
      <c r="X8" s="6" t="inlineStr">
        <is>
          <t>§ 42-133s(c); see (d), (f)</t>
        </is>
      </c>
      <c r="Y8" s="6" t="n">
        <v>30</v>
      </c>
      <c r="Z8" s="6" t="inlineStr">
        <is>
          <t>Yes</t>
        </is>
      </c>
      <c r="AA8" s="6" t="inlineStr">
        <is>
          <t>The rate is presumed fair and reasonable. To rebut, the manufacturer must reasonably substantiate that it is 'unfair and unreasonable in light of the practices of all other franchised motor vehicle dealers in the vicinity offering the same line-make vehicles'.</t>
        </is>
      </c>
      <c r="AB8" s="6" t="inlineStr">
        <is>
          <t>Rebut within 30 days after submission and propose an adjusted average labor rate within 30 days after submission. The manufacturer may audit the submitted ROs.</t>
        </is>
      </c>
      <c r="AC8" s="6" t="inlineStr">
        <is>
          <t>Dealer protest to the DMV Commissioner within 30 days after receiving the proposal. A hearing follows, with the burden on the manufacturer.</t>
        </is>
      </c>
      <c r="AD8" s="6" t="inlineStr">
        <is>
          <t>a manufacturer or distributor may, not later than thirty days after submission, rebut such presumption by reasonably substantiating that such rate is unfair and unreasonable in light of the practices of all other franchised motor vehicle dealers in the vicinity</t>
        </is>
      </c>
      <c r="AE8" s="6" t="inlineStr">
        <is>
          <t>§ 42-133s(c)</t>
        </is>
      </c>
      <c r="AF8" s="6" t="inlineStr">
        <is>
          <t>Civil action in Superior Court for an injunction, actual damages, costs and a reasonable attorney's fee (§ 42-133ee).</t>
        </is>
      </c>
      <c r="AG8" s="6" t="inlineStr">
        <is>
          <t>After a hearing, the DMV Commissioner may suspend or revoke a manufacturer's license, or impose a civil penalty of up to $3,000 per violation, for failure to comply with §§ 42-133r to 42-133dd (§ 14-67c).</t>
        </is>
      </c>
      <c r="AH8" s="6" t="inlineStr">
        <is>
          <t>Conn. Gen. Stat. §§ 42-133ee, 14-67c</t>
        </is>
      </c>
      <c r="AI8" s="6" t="inlineStr">
        <is>
          <t>Conn. Gen. Stat. § 42-133s; Conn. Gen. Stat. § 42-133ee (civil action); Conn. Gen. Stat. § 14-67c (manufacturer license sanctions)</t>
        </is>
      </c>
      <c r="AJ8" s="6" t="inlineStr">
        <is>
          <t>https://www.cga.ct.gov/current/pub/chap_739.htm</t>
        </is>
      </c>
      <c r="AK8" s="6" t="inlineStr">
        <is>
          <t>official</t>
        </is>
      </c>
      <c r="AL8" s="6" t="inlineStr">
        <is>
          <t>high</t>
        </is>
      </c>
      <c r="AM8" s="6" t="inlineStr">
        <is>
          <t>2026-10-06</t>
        </is>
      </c>
      <c r="AN8" s="6" t="inlineStr">
        <is>
          <t>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P.A. 26-24 § 20 re-enacts the § 42-133r definitions unchanged and adds only facility (substantial alteration) and consumer-data definitions; no effect on warranty scope, audits, chargebacks or rates.</t>
        </is>
      </c>
    </row>
    <row r="9">
      <c r="A9" s="6" t="inlineStr">
        <is>
          <t>DE</t>
        </is>
      </c>
      <c r="B9" s="6" t="inlineStr">
        <is>
          <t>Delaware</t>
        </is>
      </c>
      <c r="C9" s="6" t="n">
        <v>30</v>
      </c>
      <c r="D9" s="6" t="inlineStr">
        <is>
          <t>Yes</t>
        </is>
      </c>
      <c r="E9" s="6" t="n">
        <v>30</v>
      </c>
      <c r="F9" s="6" t="inlineStr">
        <is>
          <t>after approval</t>
        </is>
      </c>
      <c r="G9" s="6" t="inlineStr">
        <is>
          <t>The manufacturer must allow at least 180 days for claim submission.</t>
        </is>
      </c>
      <c r="H9" s="6" t="inlineStr"/>
      <c r="I9" s="6" t="inlineStr">
        <is>
          <t>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is>
      </c>
      <c r="J9" s="6" t="inlineStr">
        <is>
          <t>any claim not specifically disapproved in writing within 30 days after the receipt shall be construed to be approved and payment must follow within 30 days.</t>
        </is>
      </c>
      <c r="K9" s="6" t="inlineStr">
        <is>
          <t>§ 4903(d)(1); see (a)(1)d., (d)(2)-(3)</t>
        </is>
      </c>
      <c r="L9" s="6" t="n">
        <v>6</v>
      </c>
      <c r="M9" s="6" t="inlineStr">
        <is>
          <t>The 180-day limit does not apply to fraudulent claims.</t>
        </is>
      </c>
      <c r="N9" s="6" t="inlineStr">
        <is>
          <t>The window is 180 days after payment (shortened from 1 year in 2024). Chargebacks are allowed only for fraud, unnecessary work, or work not properly performed. No chargeback for administrative error, and documentation-procedure chargebacks are limited as above.</t>
        </is>
      </c>
      <c r="O9" s="6" t="inlineStr">
        <is>
          <t>the manufacturer retains the right to audit such claims and to charge back the dealer for claims due to fraud, work done unnecessarily, or work not properly performed for a period of 180 days following payment.</t>
        </is>
      </c>
      <c r="P9" s="6" t="inlineStr">
        <is>
          <t>§ 4903(d)(1)-(2)</t>
        </is>
      </c>
      <c r="Q9" s="6" t="inlineStr">
        <is>
          <t>not more than once every 9 months</t>
        </is>
      </c>
      <c r="R9" s="6" t="inlineStr">
        <is>
          <t>100 ROs or 90 days (fewer of the two samples); ROs &lt;= 180 days old</t>
        </is>
      </c>
      <c r="S9" s="6" t="inlineStr"/>
      <c r="T9" s="6" t="inlineStr">
        <is>
          <t>Discounted / promotional; Fleet; Insurance-paid; Service-contract paid; Government; Tires; Routine maintenance; Alignments; Engine / transmission assembly; Prep / reconditioning; Other (see text)</t>
        </is>
      </c>
      <c r="U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V9" s="6" t="inlineStr">
        <is>
          <t>Within 30 days after the initial submission. The 30-day clock restarts when the dealer provides any reasonably requested supporting information.</t>
        </is>
      </c>
      <c r="W9" s="6" t="inlineStr">
        <is>
          <t>established by the dealer submitting to the manufacturer 100 sequential customer paid service repair orders or 90 days of customer paid service repair orders, whichever is less, covering like repairs made no more than 180 days before the submission</t>
        </is>
      </c>
      <c r="X9" s="6" t="inlineStr">
        <is>
          <t>§ 4903(b)(1); see (b)(2)</t>
        </is>
      </c>
      <c r="Y9" s="6" t="n">
        <v>30</v>
      </c>
      <c r="Z9" s="6" t="inlineStr">
        <is>
          <t>Yes</t>
        </is>
      </c>
      <c r="AA9" s="6" t="inlineStr">
        <is>
          <t>The declared schedule is presumed fair and reasonable. In a protest, the manufacturer must prove 'the dealer's submission did not meet the respective submission requirements'. This is a compliance-only test with no market comparison.</t>
        </is>
      </c>
      <c r="AB9" s="6" t="inlineStr">
        <is>
          <t>Within 30 days the manufacturer may make reasonable requests for supporting information, which restarts the clock. It may not require another methodology or unduly burdensome part-by-part information, and may not retaliate ((b)(3)).</t>
        </is>
      </c>
      <c r="AC9" s="6" t="inlineStr">
        <is>
          <t>Public Service Commission protest within 30 days of the denial notice. If the dealer prevails, the increase is retroactive to when it would have taken effect.</t>
        </is>
      </c>
      <c r="AD9" s="6" t="inlineStr">
        <is>
          <t>The new schedule of compensation shall take effect within 30 days after the initial submission to the manufacturer and shall be presumed to be fair and reasonable.</t>
        </is>
      </c>
      <c r="AE9" s="6" t="inlineStr">
        <is>
          <t>§ 4903(b)(1); see (b)(4)</t>
        </is>
      </c>
      <c r="AF9" s="6" t="inlineStr">
        <is>
          <t>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is>
      </c>
      <c r="AG9" s="6" t="inlineStr">
        <is>
          <t>None in ch. 49. The PSC hears only rate protests (§ 4903(b)(4)).</t>
        </is>
      </c>
      <c r="AH9" s="6" t="inlineStr">
        <is>
          <t>6 Del. C. §§ 4916, 4918, 4920, 4903(b)(4)</t>
        </is>
      </c>
      <c r="AI9" s="6" t="inlineStr">
        <is>
          <t>6 Del. C. § 4903; 6 Del. C. § 4916 (civil actions); 6 Del. C. §§ 4918, 4920 (limitations, association standing)</t>
        </is>
      </c>
      <c r="AJ9" s="6" t="inlineStr">
        <is>
          <t>https://delcode.delaware.gov/title6/c049/index.html</t>
        </is>
      </c>
      <c r="AK9" s="6" t="inlineStr">
        <is>
          <t>official</t>
        </is>
      </c>
      <c r="AL9" s="6" t="inlineStr">
        <is>
          <t>high</t>
        </is>
      </c>
      <c r="AM9" s="6" t="inlineStr">
        <is>
          <t>2026-09-25</t>
        </is>
      </c>
      <c r="AN9" s="6" t="inlineStr">
        <is>
          <t>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is>
      </c>
    </row>
    <row r="10">
      <c r="A10" s="6" t="inlineStr">
        <is>
          <t>FL</t>
        </is>
      </c>
      <c r="B10" s="6" t="inlineStr">
        <is>
          <t>Florida</t>
        </is>
      </c>
      <c r="C10" s="6" t="inlineStr"/>
      <c r="D10" s="6" t="inlineStr">
        <is>
          <t>Silent</t>
        </is>
      </c>
      <c r="E10" s="6" t="n">
        <v>30</v>
      </c>
      <c r="F10" s="6" t="inlineStr">
        <is>
          <t>after receipt of the claim</t>
        </is>
      </c>
      <c r="G10" s="6" t="inlineStr"/>
      <c r="H10" s="6" t="inlineStr"/>
      <c r="I10" s="6" t="inlineStr">
        <is>
          <t>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is>
      </c>
      <c r="J10" s="6" t="inlineStr">
        <is>
          <t>Compensation not paid to a motor vehicle dealer within 30 days after receipt of a claim is not timely.</t>
        </is>
      </c>
      <c r="K10" s="6" t="inlineStr">
        <is>
          <t>§ 320.696(1)(c); see (2) and § 320.64(25)</t>
        </is>
      </c>
      <c r="L10" s="6" t="n">
        <v>12</v>
      </c>
      <c r="M10" s="6" t="inlineStr">
        <is>
          <t>None. After 12 months, payments are 'final and incontrovertible for any reason notwithstanding any otherwise applicable law'.</t>
        </is>
      </c>
      <c r="N10" s="6" t="inlineStr">
        <is>
          <t>No more than one warranty, retail customer repair or other service-related audit per calendar year (§ 320.696(2); the cap does not name incentive audits). A post-payment chargeback is allowed only as a result of a timely conducted audit, and only for the portion proven false or fraudulent or not in substantial compliance with reasonable, written, uniformly applied procedures. Within 30 days after the audit, the licensee must meet with the dealer (in person, phone or video) and give a detailed explanation with documentation for each claim, plus a written statement of why the dealer was selected. The dealer gets at least 45 days to respond. The chargeback basis cannot change unless new information is received within 30 days after the audit ends, and then the dealer gets the same meeting and response rights again. After any internal dispute process, the licensee gives written notice of the final amount; the dealer may protest to DHSMV within 30 days after receiving it. A timely protest stays recovery until the department's final, unappealable determination, and the licensee bears the burden.</t>
        </is>
      </c>
      <c r="O10" s="6" t="inlineStr">
        <is>
          <t>Audits of warranty, maintenance, and other service-related payments shall be performed by an applicant or licensee only during the 12-month period immediately following the date the claim was paid.</t>
        </is>
      </c>
      <c r="P10" s="6" t="inlineStr">
        <is>
          <t>§ 320.64(25); see § 320.696(2)</t>
        </is>
      </c>
      <c r="Q10" s="6" t="inlineStr">
        <is>
          <t>written requests for changes not more than semiannually</t>
        </is>
      </c>
      <c r="R10" s="6" t="inlineStr">
        <is>
          <t>All qualifying ROs, prior calendar month</t>
        </is>
      </c>
      <c r="S10" s="6" t="inlineStr">
        <is>
          <t>dealer's total labor sales for retail customer repairs ÷ total labor hours that generated those sales, for the month preceding the request (excluding the (4)(c) work)</t>
        </is>
      </c>
      <c r="T10" s="6" t="inlineStr">
        <is>
          <t>Internal; Prep / reconditioning; Fleet; Insurance-paid; Service-contract paid; Government; Discounted / promotional; Warranty / recall; Other (see text)</t>
        </is>
      </c>
      <c r="U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V10" s="6" t="inlineStr">
        <is>
          <t>increases are paid retroactively on all claims filed 15 days after the licensee receives the dealer's written request</t>
        </is>
      </c>
      <c r="W10" s="6" t="inlineStr">
        <is>
          <t>dealer’s hourly labor rate for retail customer repairs, determined by dividing the amount of the dealer’s total labor sales for retail customer repairs by the number of total labor hours that generated those sales for the month preceding the request</t>
        </is>
      </c>
      <c r="X10" s="6" t="inlineStr">
        <is>
          <t>§ 320.696(4)(b)1.; see (4)(b)2., (4)(c), (5)</t>
        </is>
      </c>
      <c r="Y10" s="6" t="n">
        <v>30</v>
      </c>
      <c r="Z10" s="6" t="inlineStr">
        <is>
          <t>Silent</t>
        </is>
      </c>
      <c r="AA10" s="6" t="inlineStr">
        <is>
          <t>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is>
      </c>
      <c r="AB10" s="6" t="inlineStr">
        <is>
          <t>Negotiate an agreed rate within 30 days; otherwise the statutory computation controls. The licensee may not recover its costs ((6)) or try to influence retail prices ((7)).</t>
        </is>
      </c>
      <c r="AC10" s="6" t="inlineStr">
        <is>
          <t>DHSMV administrative proceeding (§ 320.699), or court action (§§ 320.695 injunction, 320.697 damages).</t>
        </is>
      </c>
      <c r="AD10" s="6" t="inlineStr">
        <is>
          <t>If, however, an agreement is not reached within 30 days after the dealer’s written request, the dealer may choose to be paid the greater of:</t>
        </is>
      </c>
      <c r="AE10" s="6" t="inlineStr">
        <is>
          <t>§ 320.696(4)(b); see (5)</t>
        </is>
      </c>
      <c r="AF10" s="6" t="inlineStr">
        <is>
          <t>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is>
      </c>
      <c r="AG10" s="6" t="inlineStr">
        <is>
          <t>The license may be denied, suspended or revoked statewide or by location on proof that § 320.64 was violated often enough to show a pattern of wrongdoing. Improper audits and violations of § 320.696 are listed grounds (§ 320.64 intro and (25)).</t>
        </is>
      </c>
      <c r="AH10" s="6" t="inlineStr">
        <is>
          <t>Fla. Stat. §§ 320.64, 320.695, 320.697, 320.699</t>
        </is>
      </c>
      <c r="AI10" s="6" t="inlineStr">
        <is>
          <t>Fla. Stat. § 320.696; Fla. Stat. § 320.64(25) (audits, denials, chargebacks); Fla. Stat. §§ 320.64, 320.695, 320.697, 320.699</t>
        </is>
      </c>
      <c r="AJ10" s="6" t="inlineStr">
        <is>
          <t>http://www.leg.state.fl.us/statutes/index.cfm?App_mode=Display_Statute&amp;URL=0300-0399/0320/Sections/0320.696.html</t>
        </is>
      </c>
      <c r="AK10" s="6" t="inlineStr">
        <is>
          <t>official</t>
        </is>
      </c>
      <c r="AL10" s="6" t="inlineStr">
        <is>
          <t>high</t>
        </is>
      </c>
      <c r="AM10" s="6" t="inlineStr">
        <is>
          <t>2026-10-23</t>
        </is>
      </c>
      <c r="AN10" s="6" t="inlineStr">
        <is>
          <t>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is>
      </c>
    </row>
    <row r="11">
      <c r="A11" s="6" t="inlineStr">
        <is>
          <t>GA</t>
        </is>
      </c>
      <c r="B11" s="6" t="inlineStr">
        <is>
          <t>Georgia</t>
        </is>
      </c>
      <c r="C11" s="6" t="n">
        <v>30</v>
      </c>
      <c r="D11" s="6" t="inlineStr">
        <is>
          <t>Yes</t>
        </is>
      </c>
      <c r="E11" s="6" t="n">
        <v>30</v>
      </c>
      <c r="F11" s="6" t="inlineStr">
        <is>
          <t>after approval</t>
        </is>
      </c>
      <c r="G11" s="6" t="inlineStr"/>
      <c r="H11" s="6" t="inlineStr">
        <is>
          <t>A claim rejected for clerical error may be resubmitted in corrected form within 30 days (§ 10-1-662(a)(14)).</t>
        </is>
      </c>
      <c r="I11" s="6" t="inlineStr">
        <is>
          <t>Disapproval must be specific and in writing. A franchisor may not deny, delay, restrict or bill back a warranty claim unless that is the direct result of a material defect affecting the claim's validity (§ 10-1-662(a)(15)).</t>
        </is>
      </c>
      <c r="J11" s="6" t="inlineStr">
        <is>
          <t>any claim not specifically disapproved in writing within 30 days after the receipt shall be construed to be approved and payment must follow within 30 days.</t>
        </is>
      </c>
      <c r="K11" s="6" t="inlineStr">
        <is>
          <t>§ 10-1-641(b)(2); see § 10-1-662(a)(14)-(15)</t>
        </is>
      </c>
      <c r="L11" s="6" t="n">
        <v>12</v>
      </c>
      <c r="M11" s="6" t="inlineStr">
        <is>
          <t>If the franchisor has reason to believe fraudulent or intentionally false claims were submitted, it may extend the period, but never beyond 4 years before the audit.</t>
        </is>
      </c>
      <c r="N11" s="6" t="inlineStr">
        <is>
          <t>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is>
      </c>
      <c r="O11" s="6" t="inlineStr">
        <is>
          <t>To conduct an audit, investigation, or inquiry of any dealer or dealership as to any activity, transaction, conduct, or other occurrence which took place more than one year prior to such audit, investigation, or inquiry</t>
        </is>
      </c>
      <c r="P11" s="6" t="inlineStr">
        <is>
          <t>§ 10-1-662(a)(13); see (a)(14)</t>
        </is>
      </c>
      <c r="Q11" s="6" t="inlineStr">
        <is>
          <t>no dealer shall declare a retail rate for parts or labor or both more than once in one calendar year</t>
        </is>
      </c>
      <c r="R11" s="6" t="inlineStr">
        <is>
          <t>100 ROs or 90 days (fewer of the two samples); ROs &lt;= 180 days old</t>
        </is>
      </c>
      <c r="S11" s="6" t="inlineStr">
        <is>
          <t>dealer's total labor sales from the submitted ROs ÷ total number of hours that generated those sales</t>
        </is>
      </c>
      <c r="T11" s="6" t="inlineStr">
        <is>
          <t>Discounted / promotional; Routine maintenance; Tires; Prep / reconditioning; Other (see text)</t>
        </is>
      </c>
      <c r="U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V11" s="6" t="inlineStr">
        <is>
          <t>30 days after approval, unless the franchisor disapproves and timely contests</t>
        </is>
      </c>
      <c r="W11" s="6" t="inlineStr">
        <is>
          <t>The retail rate for labor shall be calculated by determining the dealer’s total labor sales from the submitted repair orders and dividing that amount by the total number of hours that generated those sales.</t>
        </is>
      </c>
      <c r="X11" s="6" t="inlineStr">
        <is>
          <t>§ 10-1-641(a)(2)(C); see (a)(2)(D), (F)</t>
        </is>
      </c>
      <c r="Y11" s="6" t="n">
        <v>30</v>
      </c>
      <c r="Z11" s="6" t="inlineStr">
        <is>
          <t>Silent</t>
        </is>
      </c>
      <c r="AA11" s="6" t="inlineStr">
        <is>
          <t>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is>
      </c>
      <c r="AB11" s="6" t="inlineStr">
        <is>
          <t>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is>
      </c>
      <c r="AC11" s="6" t="inlineStr">
        <is>
          <t>Petition to the state revenue commissioner (Department of Revenue) within 60 days after receiving the proposed adjustment, or 30 days after internal dispute resolution ends, whichever is later. A hearing follows, with the burden on the franchisor.</t>
        </is>
      </c>
      <c r="AD11" s="6" t="inlineStr">
        <is>
          <t>A franchisor, manufacturer, or distributor may contest the dealer’s declared labor rate not later than 30 days after submission and declaration of the labor rate by the dealer by reasonably substantiating that such rate is unreasonable</t>
        </is>
      </c>
      <c r="AE11" s="6" t="inlineStr">
        <is>
          <t>§ 10-1-641(a)(2)(C)</t>
        </is>
      </c>
      <c r="AF11" s="6" t="inlineStr">
        <is>
          <t>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is>
      </c>
      <c r="AG11" s="6" t="inlineStr">
        <is>
          <t>The revenue commissioner may enforce the article and issue administrative orders after an APA hearing; final orders can be filed and enforced as superior-court judgments (§§ 10-1-666, 10-1-667). No specific civil-penalty amount was found in Part 6.</t>
        </is>
      </c>
      <c r="AH11" s="6" t="inlineStr">
        <is>
          <t>O.C.G.A. §§ 10-1-623, 10-1-666, 10-1-667</t>
        </is>
      </c>
      <c r="AI11" s="6" t="inlineStr">
        <is>
          <t>O.C.G.A. § 10-1-641; O.C.G.A. § 10-1-662(a)(13)-(15) (audits, chargebacks, denials); O.C.G.A. §§ 10-1-623, 10-1-666, 10-1-667 (remedies/enforcement)</t>
        </is>
      </c>
      <c r="AJ11" s="6" t="inlineStr">
        <is>
          <t>https://law.justia.com/codes/georgia/title-10/chapter-1/article-22/part-3/section-10-1-641/</t>
        </is>
      </c>
      <c r="AK11" s="6" t="inlineStr">
        <is>
          <t>mirror</t>
        </is>
      </c>
      <c r="AL11" s="6" t="inlineStr">
        <is>
          <t>medium</t>
        </is>
      </c>
      <c r="AM11" s="6" t="inlineStr">
        <is>
          <t>2026-09-25</t>
        </is>
      </c>
      <c r="AN11" s="6" t="inlineStr">
        <is>
          <t>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is>
      </c>
    </row>
    <row r="12">
      <c r="A12" s="6" t="inlineStr">
        <is>
          <t>HI</t>
        </is>
      </c>
      <c r="B12" s="6" t="inlineStr">
        <is>
          <t>Hawaii</t>
        </is>
      </c>
      <c r="C12" s="6" t="n">
        <v>30</v>
      </c>
      <c r="D12" s="6" t="inlineStr">
        <is>
          <t>Yes</t>
        </is>
      </c>
      <c r="E12" s="6" t="n">
        <v>30</v>
      </c>
      <c r="F12" s="6" t="inlineStr">
        <is>
          <t>after approval</t>
        </is>
      </c>
      <c r="G12" s="6" t="inlineStr">
        <is>
          <t>Dealer must be allowed at least 30 days after the repair is completed to submit (§ 437-56(d)); no outer limit stated</t>
        </is>
      </c>
      <c r="H12" s="6" t="inlineStr"/>
      <c r="I12" s="6" t="inlineStr">
        <is>
          <t>Written notice to the dealer of the grounds for disapproval (§ 437-28(a)(21)(G); § 437-56(d))</t>
        </is>
      </c>
      <c r="J12" s="6" t="inlineStr">
        <is>
          <t>shall be paid within thirty days after approval and shall be approved or disapproved within thirty days after receipt … Failure to disapprove a claim within the required time frame constitutes approval of the claim.</t>
        </is>
      </c>
      <c r="K12" s="6" t="inlineStr">
        <is>
          <t>§ 437-28(a)(21)(G) (30/30); § 437-56(d) (deemed approval)</t>
        </is>
      </c>
      <c r="L12" s="6" t="n">
        <v>12</v>
      </c>
      <c r="M12" s="6" t="inlineStr">
        <is>
          <t>1-year limit does not apply to fraudulent claims</t>
        </is>
      </c>
      <c r="N12" s="6" t="inlineStr">
        <is>
          <t>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is>
      </c>
      <c r="O12" s="6" t="inlineStr">
        <is>
          <t>chargeback any warranty or incentive payment previously made more than one year after the date the manufacturer or distributor made the payment to the dealer. This section shall not apply to fraudulent claims.</t>
        </is>
      </c>
      <c r="P12" s="6" t="inlineStr">
        <is>
          <t>§ 437-57(a)</t>
        </is>
      </c>
      <c r="Q12" s="6" t="inlineStr"/>
      <c r="R12" s="6" t="inlineStr">
        <is>
          <t>No statutory labor-rate sample</t>
        </is>
      </c>
      <c r="S12" s="6" t="inlineStr">
        <is>
          <t>No formula. Warranty labor rate per hour must equal the dealer's retail labor rate: not less than it, and not more than it</t>
        </is>
      </c>
      <c r="T12" s="6" t="inlineStr"/>
      <c r="U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V12" s="6" t="inlineStr"/>
      <c r="W12" s="6" t="inlineStr">
        <is>
          <t>pay its dealers a labor rate per hour for warranty work that is less than that charged by the dealer to the retail customers of the dealer nor shall the rates be more than the retail rates</t>
        </is>
      </c>
      <c r="X12" s="6" t="inlineStr">
        <is>
          <t>§ 437-28(a)(21)(G)</t>
        </is>
      </c>
      <c r="Y12" s="6" t="inlineStr"/>
      <c r="Z12" s="6" t="inlineStr">
        <is>
          <t>Silent</t>
        </is>
      </c>
      <c r="AA12" s="6" t="inlineStr"/>
      <c r="AB12" s="6" t="inlineStr"/>
      <c r="AC12" s="6" t="inlineStr">
        <is>
          <t>DCCA administrative hearing (Office of Administrative Hearings) for disputes on Part II matters (§§ 437-51 to 437-59, which include § 437-56 and § 437-57); board discipline under § 437-28 for (21)(G)</t>
        </is>
      </c>
      <c r="AD12" s="6" t="inlineStr">
        <is>
          <t>In any dispute among a manufacturer, distributor, or dealer on matters governed by this part, the manufacturer, distributor, or dealer may seek a hearing from the department of commerce and consumer affairs.</t>
        </is>
      </c>
      <c r="AE12" s="6" t="inlineStr">
        <is>
          <t>§ 437-51(a)</t>
        </is>
      </c>
      <c r="AF12" s="6" t="inlineStr">
        <is>
          <t>Suit to enjoin, with damages and a reasonable attorney's fee (§ 437-36; the section is framed around unlicensed activity, but the court may enjoin any chapter violation). DCCA hearing under § 437-51: each party bears its own costs and attorney's fees; hearing cost shared</t>
        </is>
      </c>
      <c r="AG12" s="6" t="inlineStr">
        <is>
          <t>Board may suspend, revoke, fine ($100-$1,000 per violation) or deny license renewal for a (21)(G) violation (§ 437-28(a),(c)); fine up to $1,000, each day a separate offense (§ 437-35); board may seek injunctive relief (§ 437-39); remedies cumulative (§ 437-37.5)</t>
        </is>
      </c>
      <c r="AH12" s="6" t="inlineStr">
        <is>
          <t>HRS §§ 437-28(a),(c), 437-35, 437-36, 437-37.5, 437-39, 437-51(g)</t>
        </is>
      </c>
      <c r="AI12" s="6" t="inlineStr">
        <is>
          <t>Haw. Rev. Stat. § 437-28(a)(21)(G); Haw. Rev. Stat. § 437-56(d)-(e); Haw. Rev. Stat. § 437-57; Haw. Rev. Stat. § 437-59(d)-(e); Haw. Rev. Stat. §§ 437-28(a),(c), 437-35, 437-36, 437-39, 437-51</t>
        </is>
      </c>
      <c r="AJ12" s="6" t="inlineStr">
        <is>
          <t>https://data.capitol.hawaii.gov/hrscurrent/Vol10_Ch0436-0474/HRS0437/HRS_0437-0056.htm (also HRS_0437-0028.htm, HRS_0437-0057.htm, HRS_0437-0051.htm; legislature data host, files dated 1/5/2026)</t>
        </is>
      </c>
      <c r="AK12" s="6" t="inlineStr">
        <is>
          <t>official</t>
        </is>
      </c>
      <c r="AL12" s="6" t="inlineStr">
        <is>
          <t>high</t>
        </is>
      </c>
      <c r="AM12" s="6" t="inlineStr">
        <is>
          <t>2026-09-25</t>
        </is>
      </c>
      <c r="AN12" s="6" t="inlineStr">
        <is>
          <t>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is>
      </c>
    </row>
    <row r="13">
      <c r="A13" s="6" t="inlineStr">
        <is>
          <t>IA</t>
        </is>
      </c>
      <c r="B13" s="6" t="inlineStr">
        <is>
          <t>Iowa</t>
        </is>
      </c>
      <c r="C13" s="6" t="n">
        <v>30</v>
      </c>
      <c r="D13" s="6" t="inlineStr">
        <is>
          <t>Yes</t>
        </is>
      </c>
      <c r="E13" s="6" t="n">
        <v>30</v>
      </c>
      <c r="F13" s="6" t="inlineStr">
        <is>
          <t>after approval</t>
        </is>
      </c>
      <c r="G13" s="6" t="inlineStr">
        <is>
          <t>A claim may not be reduced or disallowed for being submitted fewer than 60 days after the work was completed (§ 322.3(16)); no maximum stated</t>
        </is>
      </c>
      <c r="H13" s="6" t="inlineStr">
        <is>
          <t>A claim may be rejected, but not denied, solely for an unintentional failure such as a clerical error; the dealer may resubmit the corrected claim 'in a timely manner' (§ 322A.5(4)(b))</t>
        </is>
      </c>
      <c r="I13" s="6" t="inlineStr">
        <is>
          <t>Denial in writing within 30 days. Allowed grounds: repair not related to warranty or recall; repair not properly performed; lacks reasonably required documentation; noncompliance with program terms; bona fide, fact-based belief of an intentionally false or fraudulent claim (§ 322A.5(4)(b))</t>
        </is>
      </c>
      <c r="J13" s="6" t="inlineStr">
        <is>
          <t>shall be paid within thirty days after the claim's approval … If a franchiser does not deny a claim in writing within thirty days after the receipt of the claim, the claim shall be deemed to be approved</t>
        </is>
      </c>
      <c r="K13" s="6" t="inlineStr">
        <is>
          <t>§ 322A.5(4)(a)</t>
        </is>
      </c>
      <c r="L13" s="6" t="n">
        <v>12</v>
      </c>
      <c r="M13" s="6" t="inlineStr">
        <is>
          <t>The 12-month limit does not apply if an Iowa court of competent jurisdiction finds the claim fraudulent</t>
        </is>
      </c>
      <c r="N13" s="6" t="inlineStr">
        <is>
          <t>The 12 months run from claim SUBMISSION, not payment: no reduction or disallowance of warranty compensation once 12 months have passed since submission (§ 322.3(14)). The 30-day rules do not preclude denials, reductions or chargebacks not otherwise barred by § 322.3(14) (§ 322A.5(4)(c))</t>
        </is>
      </c>
      <c r="O13" s="6" t="inlineStr">
        <is>
          <t>shall not reduce the amount of compensation for, or disallow a claim for, any of the following if twelve months or more have passed since the claim was submitted</t>
        </is>
      </c>
      <c r="P13" s="6" t="inlineStr">
        <is>
          <t>§ 322.3(14)(a)</t>
        </is>
      </c>
      <c r="Q13" s="6" t="inlineStr">
        <is>
          <t>Once in any one-year period</t>
        </is>
      </c>
      <c r="R13" s="6" t="inlineStr">
        <is>
          <t>100 ROs or 90 days (fewer of the two samples); ROs &lt;= 180 days old</t>
        </is>
      </c>
      <c r="S13" s="6" t="inlineStr">
        <is>
          <t>Total retail sales attributable to labor for warranty-like services / hours of labor spent to generate them</t>
        </is>
      </c>
      <c r="T13" s="6" t="inlineStr">
        <is>
          <t>Routine maintenance; Tires</t>
        </is>
      </c>
      <c r="U13" s="6" t="inlineStr">
        <is>
          <t>Retail service orders, or portions of them, attributable to routine maintenance 'such as tire service or oil service'</t>
        </is>
      </c>
      <c r="V13" s="6" t="inlineStr">
        <is>
          <t>45 days after the franchiser's approval</t>
        </is>
      </c>
      <c r="W13" s="6" t="inlineStr">
        <is>
          <t>one hundred sequential retail service orders paid by the franchisee's customers, or all of the franchisee's retail service orders paid by the franchisee's customers in a ninety-day period, whichever is less, for services provided within the previous one-hundred-eighty-day period</t>
        </is>
      </c>
      <c r="X13" s="6" t="inlineStr">
        <is>
          <t>§ 322A.5(2)(b)(3)(a)</t>
        </is>
      </c>
      <c r="Y13" s="6" t="inlineStr"/>
      <c r="Z13" s="6" t="inlineStr">
        <is>
          <t>Silent</t>
        </is>
      </c>
      <c r="AA13" s="6" t="inlineStr">
        <is>
          <t>At a DIAL hearing the franchiser bears the burden of proving its denial was reasonable. The compensation floor applies 'provided the rates are reasonable' (§ 322A.5(2)(b)(4))</t>
        </is>
      </c>
      <c r="AB13" s="6" t="inlineStr">
        <is>
          <t>The franchiser may choose to audit the submitted ROs within 30 days of receipt, then approve or deny. The statute sets no explicit deadline for the approve/deny decision and no deemed approval. If DIAL finds the denial unreasonable, the denial is a violation and DIAL sets the rate</t>
        </is>
      </c>
      <c r="AC13" s="6" t="inlineStr">
        <is>
          <t>Complaint to the department (Iowa DOT); contested-case hearing before the Department of Inspections, Appeals, and Licensing; review by DOT, then judicial review (§§ 322A.5(2)(b)(3)(b), 322A.17)</t>
        </is>
      </c>
      <c r="AD13" s="6" t="inlineStr">
        <is>
          <t>Within thirty days of receiving the franchisee's submission, the franchiser may choose to audit the submitted orders. The franchiser shall then approve or deny the establishment of the franchisee's average percentage markup or labor rate.</t>
        </is>
      </c>
      <c r="AE13" s="6" t="inlineStr">
        <is>
          <t>§ 322A.5(2)(b)(3)(b)</t>
        </is>
      </c>
      <c r="AF13" s="6" t="inlineStr">
        <is>
          <t>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is>
      </c>
      <c r="AG13" s="6" t="inlineStr">
        <is>
          <t>Manufacturer or distributor license may be denied, revoked or suspended for violating ch. 322, incl. § 322.3(14)/(16) (§ 322.31). Simple misdemeanor: fine $250-$1,500 or up to 30 days (§ 322.14). Department injunction action (§ 322.11). An unreasonable rate denial is deemed a ch. 322A violation (§ 322A.5(2)(b)(3)(b))</t>
        </is>
      </c>
      <c r="AH13" s="6" t="inlineStr">
        <is>
          <t>Iowa Code §§ 322A.5(1), 322A.5(2)(b)(3)(b), 322A.19, 322.11, 322.14, 322.31</t>
        </is>
      </c>
      <c r="AI13" s="6" t="inlineStr">
        <is>
          <t>Iowa Code § 322A.5; Iowa Code § 322.3(14), (16); Iowa Code §§ 322.11, 322.14, 322.31</t>
        </is>
      </c>
      <c r="AJ13" s="6" t="inlineStr">
        <is>
          <t>https://www.legis.iowa.gov/docs/code/322A.pdf (Iowa Code 2026; ch. 322 at https://www.legis.iowa.gov/docs/code/322.pdf)</t>
        </is>
      </c>
      <c r="AK13" s="6" t="inlineStr">
        <is>
          <t>official</t>
        </is>
      </c>
      <c r="AL13" s="6" t="inlineStr">
        <is>
          <t>high</t>
        </is>
      </c>
      <c r="AM13" s="6" t="inlineStr">
        <is>
          <t>2026-09-25</t>
        </is>
      </c>
      <c r="AN13" s="6" t="inlineStr">
        <is>
          <t>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is>
      </c>
    </row>
    <row r="14">
      <c r="A14" s="6" t="inlineStr">
        <is>
          <t>ID</t>
        </is>
      </c>
      <c r="B14" s="6" t="inlineStr">
        <is>
          <t>Idaho</t>
        </is>
      </c>
      <c r="C14" s="6" t="n">
        <v>30</v>
      </c>
      <c r="D14" s="6" t="inlineStr">
        <is>
          <t>Yes</t>
        </is>
      </c>
      <c r="E14" s="6" t="n">
        <v>30</v>
      </c>
      <c r="F14" s="6" t="inlineStr">
        <is>
          <t>after approval</t>
        </is>
      </c>
      <c r="G14" s="6" t="inlineStr">
        <is>
          <t>No fixed deadline. A claim may be submitted if the defect was identified and documented before the warranty expired, including after franchise termination for work done while the franchise was in effect (§ 49-1626(4))</t>
        </is>
      </c>
      <c r="H14" s="6" t="inlineStr">
        <is>
          <t>30 days from notice of a denial or chargeback to resubmit a claim denied for a clerical error or other administrative technicality (longer if the mfr allows) (§ 49-1626(6)-(7))</t>
        </is>
      </c>
      <c r="I14" s="6" t="inlineStr">
        <is>
          <t>A claim must be specifically disapproved in writing within 30 days of receipt, or it is approved; the statute has no stated-grounds requirement</t>
        </is>
      </c>
      <c r="J14" s="6" t="inlineStr">
        <is>
          <t>shall be paid within thirty (30) days following their approval … any claim not specifically disapproved in writing within thirty (30) days after receipt shall be construed to be approved</t>
        </is>
      </c>
      <c r="K14" s="6" t="inlineStr">
        <is>
          <t>§ 49-1626(5)</t>
        </is>
      </c>
      <c r="L14" s="6" t="n">
        <v>12</v>
      </c>
      <c r="M14" s="6" t="inlineStr">
        <is>
          <t>May audit for fraudulent claims during any period in which a fraud action may be commenced; a fraud action under § 5-218 is preserved (§ 49-1626(8), (10))</t>
        </is>
      </c>
      <c r="N14" s="6" t="inlineStr">
        <is>
          <t>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is>
      </c>
      <c r="O14" s="6" t="inlineStr">
        <is>
          <t>after the expiration of one (1) year after the date of payment of the warranty claim, a manufacturer or distributor shall not audit the records of a motor vehicle dealer to determine compliance with the terms of a warranty claim.</t>
        </is>
      </c>
      <c r="P14" s="6" t="inlineStr">
        <is>
          <t>§ 49-1626(8)</t>
        </is>
      </c>
      <c r="Q14" s="6" t="inlineStr">
        <is>
          <t>Once every 12 months</t>
        </is>
      </c>
      <c r="R14" s="6" t="inlineStr">
        <is>
          <t>100 ROs or 90 days (fewer of the two samples); ROs &lt;= 180 days old</t>
        </is>
      </c>
      <c r="S14" s="6" t="inlineStr"/>
      <c r="T14" s="6" t="inlineStr">
        <is>
          <t>Discounted / promotional; Insurance-paid; Service-contract paid; State inspections; Fleet; Engine / transmission assembly; Routine maintenance; Tires; Prep / reconditioning; Other (see text)</t>
        </is>
      </c>
      <c r="U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V14" s="6" t="inlineStr">
        <is>
          <t>Within 90 days after initial submission. The clock starts on receipt of any reasonably requested supporting information; the rate is presumed fair and reasonable</t>
        </is>
      </c>
      <c r="W14" s="6" t="inlineStr">
        <is>
          <t>one hundred (100) sequential customer paid service repair orders or ninety (90) days of customer paid service repair orders, whichever is less, covering repairs made no more than one hundred eighty (180) days before the submission</t>
        </is>
      </c>
      <c r="X14" s="6" t="inlineStr">
        <is>
          <t>§ 49-1626(11)(b)</t>
        </is>
      </c>
      <c r="Y14" s="6" t="n">
        <v>30</v>
      </c>
      <c r="Z14" s="6" t="inlineStr">
        <is>
          <t>Yes</t>
        </is>
      </c>
      <c r="AA14" s="6" t="inlineStr">
        <is>
          <t>Rate presumed fair and reasonable. The retail-rate floor applies only if the rate is 'not unreasonable when compared with other motor vehicle franchises from the same or competitive lines ... in the geographic area' (§ 49-1626(11))</t>
        </is>
      </c>
      <c r="AB14" s="6" t="inlineStr">
        <is>
          <t>Within 30 days, the mfr may make reasonable requests for additional supporting information (not unduly burdensome); otherwise it must implement the rate within 90 days. The statute has no rebuttal or rejection procedure; the rate takes effect by operation of law</t>
        </is>
      </c>
      <c r="AC14" s="6" t="inlineStr">
        <is>
          <t>After mediation (§ 49-1617A), protest to the Idaho Transportation Department, heard as a contested case by a hearing officer appointed by the office of administrative hearings (§ 49-1617(1)(e), (4)); dealer deposits a $2,000 hearing fee (IDAPA 39.02.04.100.02); or a civil action (§ 49-1617B)</t>
        </is>
      </c>
      <c r="AD14" s="6" t="inlineStr">
        <is>
          <t>shall take effect within ninety (90) days after the initial submission … and shall be presumed to be fair and reasonable. However, within thirty (30) days following receipt of the declared schedule … may make reasonable requests for additional information</t>
        </is>
      </c>
      <c r="AE14" s="6" t="inlineStr">
        <is>
          <t>§ 49-1626(11)(b)</t>
        </is>
      </c>
      <c r="AF14" s="6" t="inlineStr">
        <is>
          <t>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is>
      </c>
      <c r="AG14" s="6" t="inlineStr">
        <is>
          <t>License refusal, suspension or revocation for violating the chapter (§§ 49-1602(1)-(2), 49-1620); a violation is an unlawful act by a licensee (§ 49-1613(1)(b))</t>
        </is>
      </c>
      <c r="AH14" s="6" t="inlineStr">
        <is>
          <t>Idaho Code §§ 49-1602, 49-1610(2), 49-1613(1)(b), 49-1617(3), 49-1617B, 49-1620, 49-1633</t>
        </is>
      </c>
      <c r="AI14" s="6" t="inlineStr">
        <is>
          <t>Idaho Code § 49-1626; Idaho Code § 49-1617; Idaho Code § 49-1617B; Idaho Code § 49-1610(2); Idaho Code §§ 49-1602(2), 49-1620</t>
        </is>
      </c>
      <c r="AJ14" s="6" t="inlineStr">
        <is>
          <t>https://legislature.idaho.gov/wp-content/uploads/statutesrules/idstat/Title49/T49CH16.pdf (section page: https://legislature.idaho.gov/statutesrules/idstat/title49/t49ch16/sect49-1626/)</t>
        </is>
      </c>
      <c r="AK14" s="6" t="inlineStr">
        <is>
          <t>official</t>
        </is>
      </c>
      <c r="AL14" s="6" t="inlineStr">
        <is>
          <t>high</t>
        </is>
      </c>
      <c r="AM14" s="6" t="inlineStr">
        <is>
          <t>2026-10-06</t>
        </is>
      </c>
      <c r="AN14" s="6" t="inlineStr">
        <is>
          <t>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is>
      </c>
    </row>
    <row r="15">
      <c r="A15" s="6" t="inlineStr">
        <is>
          <t>IL</t>
        </is>
      </c>
      <c r="B15" s="6" t="inlineStr">
        <is>
          <t>Illinois</t>
        </is>
      </c>
      <c r="C15" s="6" t="n">
        <v>30</v>
      </c>
      <c r="D15" s="6" t="inlineStr">
        <is>
          <t>Yes</t>
        </is>
      </c>
      <c r="E15" s="6" t="n">
        <v>30</v>
      </c>
      <c r="F15" s="6" t="inlineStr">
        <is>
          <t>after approval</t>
        </is>
      </c>
      <c r="G15" s="6" t="inlineStr"/>
      <c r="H15" s="6" t="inlineStr">
        <is>
          <t>Dealer may correct and resubmit disapproved claims within 30 days of receiving the disapproval; resubmitted claims are subject to the same 30-day rule</t>
        </is>
      </c>
      <c r="I15" s="6" t="inlineStr">
        <is>
          <t>Written notice within the 30-day period stating the specific grounds for disapproval</t>
        </is>
      </c>
      <c r="J15" s="6" t="inlineStr">
        <is>
          <t>The motor vehicle dealer shall be permitted to correct and resubmit such disapproved claims within 30 days of receipt of disapproval. Any claims not specifically disapproved in writing within 30 days from their submission shall be deemed approved</t>
        </is>
      </c>
      <c r="K15" s="6" t="inlineStr">
        <is>
          <t>710/6(b) (claims paragraph)</t>
        </is>
      </c>
      <c r="L15" s="6" t="n">
        <v>12</v>
      </c>
      <c r="M15" s="6" t="inlineStr">
        <is>
          <t>Beyond 1 year, the mfr may charge back a fraudulent claim only if it establishes fraud in an Illinois court of competent jurisdiction</t>
        </is>
      </c>
      <c r="N15" s="6" t="inlineStr">
        <is>
          <t>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is>
      </c>
      <c r="O15" s="6" t="inlineStr">
        <is>
          <t>audit such claims within a one year period from the date the claim was paid or credit issued … No debit reduction or charge back … absent a finding of fraud or illegal actions</t>
        </is>
      </c>
      <c r="P15" s="6" t="inlineStr">
        <is>
          <t>710/6(b)</t>
        </is>
      </c>
      <c r="Q15" s="6" t="inlineStr">
        <is>
          <t>Requests for warranty labor-rate increases at most once per calendar year</t>
        </is>
      </c>
      <c r="R15" s="6" t="inlineStr">
        <is>
          <t>100 ROs (RO count only)</t>
        </is>
      </c>
      <c r="S15" s="6" t="inlineStr">
        <is>
          <t>The 'same effective labor rate' the dealer receives for customer-pay repairs, taken from the 100 sequential ROs. The statute does not spell out the arithmetic. Floor: never less than rates charged for like retail nonwarranty service</t>
        </is>
      </c>
      <c r="T15" s="6" t="inlineStr">
        <is>
          <t>Routine maintenance</t>
        </is>
      </c>
      <c r="U15" s="6" t="inlineStr">
        <is>
          <t>'less simple maintenance repair orders'</t>
        </is>
      </c>
      <c r="V15" s="6" t="inlineStr"/>
      <c r="W15" s="6" t="inlineStr">
        <is>
          <t>same effective labor rate (using the 100 sequential repair orders chosen and submitted by the dealer less simple maintenance repair orders) … warranty labor rate increases a maximum of once per calendar year</t>
        </is>
      </c>
      <c r="X15" s="6" t="inlineStr">
        <is>
          <t>710/6(b)</t>
        </is>
      </c>
      <c r="Y15" s="6" t="inlineStr"/>
      <c r="Z15" s="6" t="inlineStr">
        <is>
          <t>Silent</t>
        </is>
      </c>
      <c r="AA15" s="6" t="inlineStr"/>
      <c r="AB15" s="6" t="inlineStr"/>
      <c r="AC15" s="6" t="inlineStr">
        <is>
          <t>Motor Vehicle Review Board protest (Secs. 12(b), 29), arbitration if both parties agree (Sec. 12(a)), or circuit court (Secs. 12(e), 13)</t>
        </is>
      </c>
      <c r="AD15" s="6" t="inlineStr">
        <is>
          <t>Upon receipt of a timely notice of protest filed with the Motor Vehicle Review Board under Section 4, 5, 6, 7, 9, 10.1, 11, or 12 of this Act</t>
        </is>
      </c>
      <c r="AE15" s="6" t="inlineStr">
        <is>
          <t>710/29</t>
        </is>
      </c>
      <c r="AF15" s="6" t="inlineStr">
        <is>
          <t>Damages and equitable relief incl. an injunction; treble damages if willful or wanton; mandatory reasonable attorney's fees, expert fees and costs to a dealer that substantially prevails (Sec. 13). MVRB protest or agreed arbitration (Sec. 12); MVRB protest costs: $250 processing fee and refundable $2,500 deposit per party, with Board expenses, attorney's and expert fees assessed against the party that has not substantially prevailed (92 Ill. Adm. Code 1001.790). 4-year limitations period (Sec. 14)</t>
        </is>
      </c>
      <c r="AG15" s="6" t="inlineStr">
        <is>
          <t>None for manufacturers. They hold no Vehicle Code license and pay only an annual $1,500 fee (625 ILCS 5/5-109(c)); license sanctions under 5/5-501 reach ch. 5 licensees such as dealers.</t>
        </is>
      </c>
      <c r="AH15" s="6" t="inlineStr">
        <is>
          <t>815 ILCS 710/12, 710/13, 710/14, 710/29</t>
        </is>
      </c>
      <c r="AI15" s="6" t="inlineStr">
        <is>
          <t>815 ILCS 710/6; 815 ILCS 710/12; 815 ILCS 710/13; 815 ILCS 710/29; 625 ILCS 5/5-103(a); 92 Ill. Adm. Code 1001.790</t>
        </is>
      </c>
      <c r="AJ15" s="6" t="inlineStr">
        <is>
          <t>https://www.ilga.gov/Documents/legislation/ilcs/documents/081507100K6.htm (full Act: https://www.ilga.gov/legislation/ilcs/ilcs3.asp?ActID=2382&amp;ChapterID=67)</t>
        </is>
      </c>
      <c r="AK15" s="6" t="inlineStr">
        <is>
          <t>official</t>
        </is>
      </c>
      <c r="AL15" s="6" t="inlineStr">
        <is>
          <t>high</t>
        </is>
      </c>
      <c r="AM15" s="6" t="inlineStr">
        <is>
          <t>2026-10-23</t>
        </is>
      </c>
      <c r="AN15" s="6" t="inlineStr">
        <is>
          <t>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Vehicle Code reviewed: 625 ILCS 5/5-103(a) adds a general duty to reasonably compensate warranty repairs; manufacturers pay a fee (5/5-109) but hold no Vehicle Code license, and 5/5-501 sanctions do not reference the Franchise Act.</t>
        </is>
      </c>
    </row>
    <row r="16">
      <c r="A16" s="6" t="inlineStr">
        <is>
          <t>IN</t>
        </is>
      </c>
      <c r="B16" s="6" t="inlineStr">
        <is>
          <t>Indiana</t>
        </is>
      </c>
      <c r="C16" s="6" t="n">
        <v>30</v>
      </c>
      <c r="D16" s="6" t="inlineStr">
        <is>
          <t>Silent</t>
        </is>
      </c>
      <c r="E16" s="6" t="n">
        <v>30</v>
      </c>
      <c r="F16" s="6" t="inlineStr">
        <is>
          <t>after approval</t>
        </is>
      </c>
      <c r="G16" s="6" t="inlineStr"/>
      <c r="H16" s="6" t="inlineStr">
        <is>
          <t>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is>
      </c>
      <c r="I16" s="6" t="inlineStr">
        <is>
          <t>Written notice to the dealer of the grounds for disapproval (§ 17(a)(3))</t>
        </is>
      </c>
      <c r="J16" s="6" t="inlineStr">
        <is>
          <t>not later than thirty (30) days after the claim is approved; … fail to approve or disapprove a claim not later than thirty (30) days after receipt … disapprove a claim without notice to the dealer in writing of the grounds</t>
        </is>
      </c>
      <c r="K16" s="6" t="inlineStr">
        <is>
          <t>§ 9-32-13-17(a)(1)-(3)</t>
        </is>
      </c>
      <c r="L16" s="6" t="n">
        <v>12</v>
      </c>
      <c r="M16" s="6" t="inlineStr">
        <is>
          <t>Limits do not apply if the mfr can prove fraud on a claim</t>
        </is>
      </c>
      <c r="N16" s="6" t="inlineStr">
        <is>
          <t>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is>
      </c>
      <c r="O16" s="6" t="inlineStr">
        <is>
          <t>for up to twelve (12) months after the date on which the claim is paid. However, the limitations of this subsection do not apply if the manufacturer or distributor can prove fraud on a claim.</t>
        </is>
      </c>
      <c r="P16" s="6" t="inlineStr">
        <is>
          <t>§ 9-32-13-17(b)</t>
        </is>
      </c>
      <c r="Q16" s="6" t="inlineStr">
        <is>
          <t>One declaration of the parts markup or labor rate per 12-month period; the dealer may revert to the nonretail rate at most once per 12 months</t>
        </is>
      </c>
      <c r="R16" s="6" t="inlineStr">
        <is>
          <t>100 ROs or 90 days (dealer chooses); ROs &lt;= 180 days old</t>
        </is>
      </c>
      <c r="S16" s="6" t="inlineStr">
        <is>
          <t>Total labor sales for warranty-like repairs / number of hours that generated those sales</t>
        </is>
      </c>
      <c r="T16" s="6" t="inlineStr">
        <is>
          <t>Discounted / promotional; Routine maintenance; Prep / reconditioning; Accessories; Collision / body / glass; State inspections; Goodwill; Tires; Other (see text)</t>
        </is>
      </c>
      <c r="U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V16" s="6" t="inlineStr">
        <is>
          <t>Takes effect automatically if the mfr sends no rebuttal within 60 days after receiving the declaration (no set day stated). If the dealer files a complaint, the prior rate stays in effect until 30 days after a final court decision and exhaustion of appeals (§ 15.5(j))</t>
        </is>
      </c>
      <c r="W16" s="6" t="inlineStr">
        <is>
          <t>dividing the total labor sales for warranty like repairs by the number of hours that generated those sales in one hundred (100) customer paid sequential repair orders or ninety (90) consecutive days of customer paid repair orders</t>
        </is>
      </c>
      <c r="X16" s="6" t="inlineStr">
        <is>
          <t>§ 9-32-13-15.5(b)</t>
        </is>
      </c>
      <c r="Y16" s="6" t="n">
        <v>60</v>
      </c>
      <c r="Z16" s="6" t="inlineStr">
        <is>
          <t>Yes</t>
        </is>
      </c>
      <c r="AA16" s="6" t="inlineStr">
        <is>
          <t>Rebuttal must substantiate how the declaration is unreasonable or materially inaccurate. The § 15 retail-rate duty applies 'as long as the dealer's retail rate is reasonable', judged against similar repairs by similarly situated Indiana repair facilities</t>
        </is>
      </c>
      <c r="AB16" s="6" t="inlineStr">
        <is>
          <t>Timely rebuttal proposing an adjusted retail rate with written support. The mfr may also audit annually to verify effective rates have not decreased, and reduce the rate prospectively if they have (§ 15.5(h))</t>
        </is>
      </c>
      <c r="AC16" s="6" t="inlineStr">
        <is>
          <t>Complaint to the dealer services division of the Secretary of State within 30 days after receiving the rebuttal (§ 15.5(d)-(e)); OALP complaint (§ 9-32-16-15)</t>
        </is>
      </c>
      <c r="AD16" s="6" t="inlineStr">
        <is>
          <t>submitting a rebuttal not later than sixty (60) days after the date the declaration was received. If the manufacturer or distributor does not send a timely rebuttal … the retail rate is established as reasonable and goes into effect automatically.</t>
        </is>
      </c>
      <c r="AE16" s="6" t="inlineStr">
        <is>
          <t>§ 9-32-13-15.5(c)</t>
        </is>
      </c>
      <c r="AF16" s="6" t="inlineStr">
        <is>
          <t>Dealer complaint or petition to the Office of Administrative Law Proceedings; the ALJ may order mediation (§ 9-32-16-15). Complaint to the dealer services division (§ 9-32-13-31(a)). No express private damages action found in art. 32 for these sections</t>
        </is>
      </c>
      <c r="AG16" s="6" t="inlineStr">
        <is>
          <t>Civil penalty up to $10,000 per violation (§ 9-32-17-1); license denial, suspension, revocation or conditions (§ 9-32-16-2); an unfair practice is a Class A infraction (§ 9-32-13-31(d))</t>
        </is>
      </c>
      <c r="AH16" s="6" t="inlineStr">
        <is>
          <t>IC 9-32-13-31, 9-32-16-2, 9-32-16-15, 9-32-17-1</t>
        </is>
      </c>
      <c r="AI16" s="6" t="inlineStr">
        <is>
          <t>Ind. Code § 9-32-13-15.5; Ind. Code § 9-32-13-15; Ind. Code § 9-32-13-17; Ind. Code § 9-32-13-31; Ind. Code § 9-32-16-15; Ind. Code § 9-32-16-2; Ind. Code § 9-32-17-1</t>
        </is>
      </c>
      <c r="AJ16" s="6" t="inlineStr">
        <is>
          <t>https://iga.in.gov/ic/2026/Title_9.pdf (Indiana Code 2026, Title 9; ch. 9-32-13)</t>
        </is>
      </c>
      <c r="AK16" s="6" t="inlineStr">
        <is>
          <t>official</t>
        </is>
      </c>
      <c r="AL16" s="6" t="inlineStr">
        <is>
          <t>high</t>
        </is>
      </c>
      <c r="AM16" s="6" t="inlineStr">
        <is>
          <t>2026-09-25</t>
        </is>
      </c>
      <c r="AN16" s="6" t="inlineStr">
        <is>
          <t>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is>
      </c>
    </row>
    <row r="17">
      <c r="A17" s="6" t="inlineStr">
        <is>
          <t>KS</t>
        </is>
      </c>
      <c r="B17" s="6" t="inlineStr">
        <is>
          <t>Kansas</t>
        </is>
      </c>
      <c r="C17" s="6" t="n">
        <v>30</v>
      </c>
      <c r="D17" s="6" t="inlineStr">
        <is>
          <t>Yes</t>
        </is>
      </c>
      <c r="E17" s="6" t="n">
        <v>30</v>
      </c>
      <c r="F17" s="6" t="inlineStr">
        <is>
          <t>after approval</t>
        </is>
      </c>
      <c r="G17" s="6" t="inlineStr">
        <is>
          <t>Compensation may not be reduced or disallowed because the claim was submitted fewer than 60 days after the work was completed (8-2415(d)); no maximum stated</t>
        </is>
      </c>
      <c r="H17" s="6" t="inlineStr"/>
      <c r="I17" s="6" t="inlineStr">
        <is>
          <t>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is>
      </c>
      <c r="J17" s="6" t="inlineStr">
        <is>
          <t>If a claim is not specifically disapproved in writing or by electronic transmission within 30 days after … receives it, the claim shall be considered to be approved and payment shall follow within 30 days.</t>
        </is>
      </c>
      <c r="K17" s="6" t="inlineStr">
        <is>
          <t>K.S.A. 8-2415(e)</t>
        </is>
      </c>
      <c r="L17" s="6" t="n">
        <v>12</v>
      </c>
      <c r="M17" s="6" t="inlineStr">
        <is>
          <t>With evidence of fraud, the mfr may audit for longer and charge back fraudulent claims, subject to the K.S.A. 60-513(a)(3) limitation period</t>
        </is>
      </c>
      <c r="N17" s="6" t="inlineStr">
        <is>
          <t>Chargeback only for false or unsubstantiated claims. The mfr's reimbursement claim must be presented within 90 days of the audit. No setoff against dealer funds until a final decision on any challenge or appeal</t>
        </is>
      </c>
      <c r="O17" s="6" t="inlineStr">
        <is>
          <t>retains the right to audit claims for warranty work for a period of one year after the date on which the claim is paid and to chargeback any amounts paid on claims that are false or unsubstantiated.</t>
        </is>
      </c>
      <c r="P17" s="6" t="inlineStr">
        <is>
          <t>K.S.A. 8-2415(e)</t>
        </is>
      </c>
      <c r="Q17" s="6" t="inlineStr">
        <is>
          <t>Once in any one-year period</t>
        </is>
      </c>
      <c r="R17" s="6" t="inlineStr">
        <is>
          <t>100 ROs or 90 days (fewer of the two samples); ROs &lt;= 180 days old</t>
        </is>
      </c>
      <c r="S17" s="6" t="inlineStr">
        <is>
          <t>Total retail sales attributable to labor for warranty-like services / hours of labor spent to generate them</t>
        </is>
      </c>
      <c r="T17" s="6" t="inlineStr">
        <is>
          <t>Routine maintenance; Tires</t>
        </is>
      </c>
      <c r="U17" s="6" t="inlineStr">
        <is>
          <t>Retail service orders, or portions of them, attributable to routine maintenance 'such as tire service or oil service'</t>
        </is>
      </c>
      <c r="V17" s="6" t="inlineStr">
        <is>
          <t>45 days after the mfr's approval</t>
        </is>
      </c>
      <c r="W17" s="6" t="inlineStr">
        <is>
          <t>copies of 100 sequential retail service orders paid by the dealer's customers, or all of the dealer's retail service orders paid by the dealer's customers in a 90-day period, whichever is less, for services provided within the previous 180-day period.</t>
        </is>
      </c>
      <c r="X17" s="6" t="inlineStr">
        <is>
          <t>K.S.A. 8-2415(c)(2)(C)(i)</t>
        </is>
      </c>
      <c r="Y17" s="6" t="inlineStr"/>
      <c r="Z17" s="6" t="inlineStr">
        <is>
          <t>Silent</t>
        </is>
      </c>
      <c r="AA17" s="6" t="inlineStr">
        <is>
          <t>At the hearing the mfr bears the burden of proving its denial was reasonable. The floor applies 'provided the rates are reasonable' (8-2415(c)(3)). The mfr may not act unreasonably to delay rate adjustments (8-2415(d))</t>
        </is>
      </c>
      <c r="AB17" s="6" t="inlineStr">
        <is>
          <t>The mfr may choose to audit the submitted orders within 30 days, then approve or deny. No explicit decision deadline and no deemed approval. If the director finds the denial unreasonable, the denial is a violation and the director sets the rate</t>
        </is>
      </c>
      <c r="AC17" s="6" t="inlineStr">
        <is>
          <t>Complaint to the director of vehicles; hearing under K.S.A. 8-2411 (KAPA); appeal to district court under the Kansas Judicial Review Act</t>
        </is>
      </c>
      <c r="AD17" s="6" t="inlineStr">
        <is>
          <t>Within 30 days of receiving the dealer's submission, the first or second stage manufacturer or distributor may choose to audit the submitted orders. The first or second stage manufacturer or distributor shall then approve or deny</t>
        </is>
      </c>
      <c r="AE17" s="6" t="inlineStr">
        <is>
          <t>K.S.A. 8-2415(c)(2)(C)(ii)</t>
        </is>
      </c>
      <c r="AF17" s="6" t="inlineStr">
        <is>
          <t>Injunction on application of the board, the director or 'any person having any interest in the subject matter' (8-2413(a)); mandatory nonbinding mediation on request, which tolls deadlines (8-2413(b)). No express damages action in these sections</t>
        </is>
      </c>
      <c r="AG17" s="6" t="inlineStr">
        <is>
          <t>Civil penalty of $50-$1,000 per violation and/or license suspension or revocation (8-2411(b)); license denial, suspension or revocation for negligently failing to comply with the act (8-2410(a)(4))</t>
        </is>
      </c>
      <c r="AH17" s="6" t="inlineStr">
        <is>
          <t>K.S.A. 8-2410(a)(4), 8-2411(b), 8-2413</t>
        </is>
      </c>
      <c r="AI17" s="6" t="inlineStr">
        <is>
          <t>K.S.A. 8-2415; K.S.A. 8-2411; K.S.A. 8-2410(a)(4); K.S.A. 8-2413</t>
        </is>
      </c>
      <c r="AJ17" s="6" t="inlineStr">
        <is>
          <t>https://ksrevisor.gov/statutes/chapters/ch08/008_024_0015.html</t>
        </is>
      </c>
      <c r="AK17" s="6" t="inlineStr">
        <is>
          <t>official</t>
        </is>
      </c>
      <c r="AL17" s="6" t="inlineStr">
        <is>
          <t>high</t>
        </is>
      </c>
      <c r="AM17" s="6" t="inlineStr">
        <is>
          <t>2026-10-06</t>
        </is>
      </c>
      <c r="AN17" s="6" t="inlineStr">
        <is>
          <t>Applies to 'first or second stage' manufacturers and distributors. No time-allowance sentence, unlike Iowa. Rate and parts rules mirror Iowa § 322A.5(2), but the Kansas chargeback window runs from payment.</t>
        </is>
      </c>
    </row>
    <row r="18">
      <c r="A18" s="6" t="inlineStr">
        <is>
          <t>KY</t>
        </is>
      </c>
      <c r="B18" s="6" t="inlineStr">
        <is>
          <t>Kentucky</t>
        </is>
      </c>
      <c r="C18" s="6" t="n">
        <v>30</v>
      </c>
      <c r="D18" s="6" t="inlineStr">
        <is>
          <t>Yes</t>
        </is>
      </c>
      <c r="E18" s="6" t="n">
        <v>30</v>
      </c>
      <c r="F18" s="6" t="inlineStr">
        <is>
          <t>after approval</t>
        </is>
      </c>
      <c r="G18" s="6" t="inlineStr">
        <is>
          <t>Mfr may not require submission sooner than 30 days after the dealer completes the work (90 days for Class 7+ vehicles, § 190.046(2)(d)9.)</t>
        </is>
      </c>
      <c r="H18" s="6" t="inlineStr">
        <is>
          <t>If a claim is incomplete or inaccurate, or a problem is found in audit, the mfr must promptly notify the dealer and extend the submission time by at least 5 business days (§ 190.046(6))</t>
        </is>
      </c>
      <c r="I18" s="6" t="inlineStr">
        <is>
          <t>Specific disapproval in writing within 30 days. Failure to meet mfr processing requirements is not grounds for denial or reduction if the dealer presents reasonable documentation (§ 190.046(6)). No unreasonable proof may be required (§ 190.046(2)(e))</t>
        </is>
      </c>
      <c r="J18" s="6" t="inlineStr">
        <is>
          <t>All claims shall be either approved or disapproved … within thirty (30) days after their receipt … Any claims not specifically disapproved in writing within thirty (30) days after the receipt of the form shall be considered to be approved</t>
        </is>
      </c>
      <c r="K18" s="6" t="inlineStr">
        <is>
          <t>KRS 190.046(3)(c)-(d)</t>
        </is>
      </c>
      <c r="L18" s="6" t="n">
        <v>12</v>
      </c>
      <c r="M18" s="6" t="inlineStr">
        <is>
          <t>With evidence that would lead a person of ordinary caution to believe a claim was fraudulent, false or misleading, the mfr may audit within any period in which a fraud or false-claims action may be commenced under state law</t>
        </is>
      </c>
      <c r="N18" s="6" t="inlineStr">
        <is>
          <t>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is>
      </c>
      <c r="O18" s="6" t="inlineStr">
        <is>
          <t>A manufacturer or distributor may only audit warranty, recall, sales, or incentive claims for a period of twelve (12) months following payment, or the end of a program which does not exceed one (1) year in length, whichever is later</t>
        </is>
      </c>
      <c r="P18" s="6" t="inlineStr">
        <is>
          <t>KRS 190.046(7)(a)</t>
        </is>
      </c>
      <c r="Q18" s="6" t="inlineStr"/>
      <c r="R18" s="6" t="inlineStr">
        <is>
          <t>No statutory labor-rate sample</t>
        </is>
      </c>
      <c r="S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T18" s="6" t="inlineStr"/>
      <c r="U18" s="6" t="inlineStr">
        <is>
          <t>None (no RO sample in statute)</t>
        </is>
      </c>
      <c r="V18" s="6" t="inlineStr"/>
      <c r="W18" s="6" t="inlineStr">
        <is>
          <t>the principal factor to be considered shall be the amount of money that the dealer is charging its other customers for the same type service or repair work.</t>
        </is>
      </c>
      <c r="X18" s="6" t="inlineStr">
        <is>
          <t>KRS 190.046(2)(a)</t>
        </is>
      </c>
      <c r="Y18" s="6" t="inlineStr"/>
      <c r="Z18" s="6" t="inlineStr">
        <is>
          <t>Silent</t>
        </is>
      </c>
      <c r="AA18" s="6" t="inlineStr"/>
      <c r="AB18" s="6" t="inlineStr"/>
      <c r="AC18" s="6" t="inlineStr">
        <is>
          <t>Motor Vehicle Commission administrative hearing (KRS 190.057, conducted under KRS Chapter 13B)</t>
        </is>
      </c>
      <c r="AD18" s="6" t="inlineStr">
        <is>
          <t>Any dispute between the dealer and the manufacturer or distributor shall be subject to the provisions of KRS 190.057.</t>
        </is>
      </c>
      <c r="AE18" s="6" t="inlineStr">
        <is>
          <t>KRS 190.046(3)(f)</t>
        </is>
      </c>
      <c r="AF18" s="6" t="inlineStr">
        <is>
          <t>Civil action in Franklin Circuit Court for an injunction, actual damages, costs and a reasonable attorney's fee (KRS 190.062(1); the text says 'a violation of this section')</t>
        </is>
      </c>
      <c r="AG18" s="6" t="inlineStr">
        <is>
          <t>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is>
      </c>
      <c r="AH18" s="6" t="inlineStr">
        <is>
          <t>KRS 190.062, 190.070(1)(n), 190.990(1)</t>
        </is>
      </c>
      <c r="AI18" s="6" t="inlineStr">
        <is>
          <t>KRS 190.046; KRS 190.0462; KRS 190.057; KRS 190.062; KRS 190.070(1)(n); KRS 190.990(1)</t>
        </is>
      </c>
      <c r="AJ18" s="6" t="inlineStr">
        <is>
          <t>https://apps.legislature.ky.gov/law/statutes/statute.aspx?id=57533 (KRS 190.046, effective July 15, 2026)</t>
        </is>
      </c>
      <c r="AK18" s="6" t="inlineStr">
        <is>
          <t>official</t>
        </is>
      </c>
      <c r="AL18" s="6" t="inlineStr">
        <is>
          <t>high</t>
        </is>
      </c>
      <c r="AM18" s="6" t="inlineStr">
        <is>
          <t>2026-09-25</t>
        </is>
      </c>
      <c r="AN18" s="6" t="inlineStr">
        <is>
          <t>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is>
      </c>
    </row>
    <row r="19">
      <c r="A19" s="6" t="inlineStr">
        <is>
          <t>LA</t>
        </is>
      </c>
      <c r="B19" s="6" t="inlineStr">
        <is>
          <t>Louisiana</t>
        </is>
      </c>
      <c r="C19" s="6" t="n">
        <v>30</v>
      </c>
      <c r="D19" s="6" t="inlineStr">
        <is>
          <t>Silent</t>
        </is>
      </c>
      <c r="E19" s="6" t="n">
        <v>30</v>
      </c>
      <c r="F19" s="6" t="inlineStr">
        <is>
          <t>after approval</t>
        </is>
      </c>
      <c r="G19" s="6" t="inlineStr">
        <is>
          <t>No claim may be rejected as late if submitted within 60 days of the date the RO was written (B)(7)</t>
        </is>
      </c>
      <c r="H19" s="6" t="inlineStr"/>
      <c r="I19" s="6" t="inlineStr">
        <is>
          <t>Written notice of the grounds for disapproval ((A)(14)). No denial based solely on an incidental failure to meet a claim-processing requirement, a clerical error or an administrative technicality ((B)(3))</t>
        </is>
      </c>
      <c r="J19" s="6" t="inlineStr">
        <is>
          <t>shall be paid within thirty days after approval and shall be approved or disapproved within thirty days after receipt. When any claim is disapproved, the dealer shall be notified in writing of the grounds for disapproval.</t>
        </is>
      </c>
      <c r="K19" s="6" t="inlineStr">
        <is>
          <t>R.S. 32:1262(A)(14)</t>
        </is>
      </c>
      <c r="L19" s="6" t="n">
        <v>12</v>
      </c>
      <c r="M19" s="6" t="inlineStr">
        <is>
          <t>Limits are not effective for intentionally false or fraudulent claims (B)(5)</t>
        </is>
      </c>
      <c r="N19" s="6" t="inlineStr">
        <is>
          <t>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is>
      </c>
      <c r="O19" s="6" t="inlineStr">
        <is>
          <t>Any audit for warranty parts or service compensation shall be for the twelve-month period immediately following the date of the payment of the claim by the manufacturer or distributor.</t>
        </is>
      </c>
      <c r="P19" s="6" t="inlineStr">
        <is>
          <t>R.S. 32:1262(B)(1)</t>
        </is>
      </c>
      <c r="Q19" s="6" t="inlineStr">
        <is>
          <t>Once in a twelve-month period (parts markup, labor rate, or both)</t>
        </is>
      </c>
      <c r="R19" s="6" t="inlineStr">
        <is>
          <t>100 ROs or 90 days (fewer of the two samples); ROs &lt;= 180 days old</t>
        </is>
      </c>
      <c r="S19" s="6" t="inlineStr">
        <is>
          <t>Total labor charges from the qualifying repairs submitted / total hours that produced those charges</t>
        </is>
      </c>
      <c r="T19" s="6" t="inlineStr">
        <is>
          <t>Discounted / promotional; Other (see text); Internal; Routine maintenance; Accessories; Tires; Alignments; Prep / reconditioning; State inspections; Government; Insurance-paid; Service-contract paid; Goodwill; Collision / body / glass</t>
        </is>
      </c>
      <c r="U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V19" s="6" t="inlineStr">
        <is>
          <t>45 days after the mfr receives the submission, unless rebutted within those 45 days. If the LMVC rules for the dealer, the increase is retroactive to 45 days after receipt of the original submission</t>
        </is>
      </c>
      <c r="W19" s="6" t="inlineStr">
        <is>
          <t>All consecutive repair orders that include one hundred sequential qualifying repair orders. (ii) All repair orders closed during any period of ninety consecutive days. … shall submit the option that produces the fewer number of repair orders</t>
        </is>
      </c>
      <c r="X19" s="6" t="inlineStr">
        <is>
          <t>R.S. 32:1262(A)(4)</t>
        </is>
      </c>
      <c r="Y19" s="6" t="n">
        <v>45</v>
      </c>
      <c r="Z19" s="6" t="inlineStr">
        <is>
          <t>Yes</t>
        </is>
      </c>
      <c r="AA19" s="6" t="inlineStr">
        <is>
          <t>Reasonably substantiate that the submission is materially inaccurate. The rebuttal needs a full explanation, evidence validating each reason, a copy of all calculations, and a proposed adjusted rate based on the dealer's qualifying ROs</t>
        </is>
      </c>
      <c r="AB19" s="6" t="inlineStr">
        <is>
          <t>One rebuttal only; it may not be expanded later except on discovery of relevant information that was not known or could not have been known when the rebuttal was issued. If the calculated rate is substantially higher or lower than the rate on record, the mfr may, within 45 days, request additional ROs covering 30 days before or after the submitted period. It then has 45 days from receipt to rebut</t>
        </is>
      </c>
      <c r="AC19" s="6" t="inlineStr">
        <is>
          <t>Protest to the Louisiana Motor Vehicle Commission within 60 days of receiving the mfr's rejection and proposal. The mfr bears the burden (preponderance) of proving material inaccuracy</t>
        </is>
      </c>
      <c r="AD19" s="6" t="inlineStr">
        <is>
          <t>The submitted parts mark-up or labor rate shall be presumed accurate, and shall go into effect forty-five days after the manufacturer … receives the submission unless, within the forty-five-day period, the manufacturer … rebuts the presumption.</t>
        </is>
      </c>
      <c r="AE19" s="6" t="inlineStr">
        <is>
          <t>R.S. 32:1262(A)(9)(a)</t>
        </is>
      </c>
      <c r="AF19" s="6" t="inlineStr">
        <is>
          <t>LMVC protest for rate disputes ((A)(11)); the LMVC may award costs (R.S. 32:1260(C)). No express private damages action in §§ 1258-1262</t>
        </is>
      </c>
      <c r="AG19" s="6" t="inlineStr">
        <is>
          <t>Civil penalty up to $5,000 per day of violation, $10,000 per day for subsequent violations (R.S. 32:1260(A)). License denial, suspension or revocation for failure to comply with the chapter (R.S. 32:1258(A)(3)). Commission injunctions and cease-and-desist orders (R.S. 32:1259)</t>
        </is>
      </c>
      <c r="AH19" s="6" t="inlineStr">
        <is>
          <t>La. R.S. 32:1258, 32:1259, 32:1260</t>
        </is>
      </c>
      <c r="AI19" s="6" t="inlineStr">
        <is>
          <t>La. R.S. 32:1262(A); La. R.S. 32:1262(B); La. R.S. 32:1258; La. R.S. 32:1259; La. R.S. 32:1260</t>
        </is>
      </c>
      <c r="AJ19" s="6" t="inlineStr">
        <is>
          <t>https://legis.la.gov/Legis/LawPrint.aspx?d=321503</t>
        </is>
      </c>
      <c r="AK19" s="6" t="inlineStr">
        <is>
          <t>official</t>
        </is>
      </c>
      <c r="AL19" s="6" t="inlineStr">
        <is>
          <t>high</t>
        </is>
      </c>
      <c r="AM19" s="6" t="inlineStr">
        <is>
          <t>2026-10-06</t>
        </is>
      </c>
      <c r="AN19" s="6" t="inlineStr">
        <is>
          <t>'Warranty'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is>
      </c>
    </row>
    <row r="20">
      <c r="A20" s="6" t="inlineStr">
        <is>
          <t>MA</t>
        </is>
      </c>
      <c r="B20" s="6" t="inlineStr">
        <is>
          <t>Massachusetts</t>
        </is>
      </c>
      <c r="C20" s="6" t="n">
        <v>30</v>
      </c>
      <c r="D20" s="6" t="inlineStr">
        <is>
          <t>Yes</t>
        </is>
      </c>
      <c r="E20" s="6" t="n">
        <v>30</v>
      </c>
      <c r="F20" s="6" t="inlineStr">
        <is>
          <t>after approval</t>
        </is>
      </c>
      <c r="G20" s="6" t="inlineStr"/>
      <c r="H20" s="6" t="inlineStr"/>
      <c r="I20" s="6" t="inlineStr">
        <is>
          <t>Disapproval must be in writing or by electronic transmission within 30 days of receipt; no statement of grounds required</t>
        </is>
      </c>
      <c r="J20" s="6" t="inlineStr">
        <is>
          <t>A claim not disapproved in writing or by means of electronic transmission not later than 30 days after receipt shall be considered approved and payment shall be made within 30 days.</t>
        </is>
      </c>
      <c r="K20" s="6" t="inlineStr">
        <is>
          <t>ch. 93B, § 9(b)(4)</t>
        </is>
      </c>
      <c r="L20" s="6" t="n">
        <v>12</v>
      </c>
      <c r="M20" s="6" t="inlineStr">
        <is>
          <t>Audits may reach periods beyond 1 year if there is evidence of fraud or fraudulent concealment (no cap stated)</t>
        </is>
      </c>
      <c r="N20" s="6" t="inlineStr">
        <is>
          <t>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is>
      </c>
      <c r="O20" s="6" t="inlineStr">
        <is>
          <t>for 1 year after the date on which a claim is paid or the end of any program period, whichever is later, and to charge back any amounts paid on claims identified in subsections (d) and (e).</t>
        </is>
      </c>
      <c r="P20" s="6" t="inlineStr">
        <is>
          <t>ch. 93B, § 9(c); see also § 9(d)-(i)</t>
        </is>
      </c>
      <c r="Q20" s="6" t="inlineStr">
        <is>
          <t>once per calendar year</t>
        </is>
      </c>
      <c r="R20" s="6" t="inlineStr">
        <is>
          <t>100 ROs or 60 days (fewer of the two samples); ROs &lt;= 180 days old</t>
        </is>
      </c>
      <c r="S20" s="6" t="inlineStr">
        <is>
          <t>dealer's total labor sales ÷ total labor hours that generated those sales</t>
        </is>
      </c>
      <c r="T20" s="6" t="inlineStr">
        <is>
          <t>Routine maintenance; Other (see text); Tires; Prep / reconditioning</t>
        </is>
      </c>
      <c r="U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V20" s="6" t="inlineStr">
        <is>
          <t>30 days after the declaration, subject to franchisor audit of the submitted ROs and rebuttal</t>
        </is>
      </c>
      <c r="W20" s="6" t="inlineStr">
        <is>
          <t>100 sequential nonwarranty, customer-paid service repair orders or 60 consecutive days of nonwarranty, customer-paid service repair orders, whichever is less, covering repair orders made not more than 180 days before the submission</t>
        </is>
      </c>
      <c r="X20" s="6" t="inlineStr">
        <is>
          <t>ch. 93B, § 9(b)(2)(ii); exclusions § 9(b)(2)(iii); frequency § 9(b)(2)(v)</t>
        </is>
      </c>
      <c r="Y20" s="6" t="n">
        <v>30</v>
      </c>
      <c r="Z20" s="6" t="inlineStr">
        <is>
          <t>Yes</t>
        </is>
      </c>
      <c r="AA20" s="6" t="inlineStr">
        <is>
          <t>The declared average labor rate is presumed fair and reasonable. In court the manufacturer must prove the declared rate was 'inaccurate or unreasonable'.</t>
        </is>
      </c>
      <c r="AB20" s="6" t="inlineStr">
        <is>
          <t>Audit the submitted ROs and rebut the rate. Propose an adjusted average labor rate based on the rebuttal within 30 days after submission. May not require unduly burdensome methods such as part-by-part or transaction-by-transaction calculations.</t>
        </is>
      </c>
      <c r="AC20" s="6" t="inlineStr">
        <is>
          <t>Court of competent jurisdiction; the dealer must file within 30 days after receiving the manufacturer's proposal</t>
        </is>
      </c>
      <c r="AD20" s="6" t="inlineStr">
        <is>
          <t>If the declared rate is rebutted, the manufacturer or distributor shall propose an adjustment of the average labor rate based on the rebuttal not later than 30 days after submission.</t>
        </is>
      </c>
      <c r="AE20" s="6" t="inlineStr">
        <is>
          <t>ch. 93B, § 9(b)(2)(ii)</t>
        </is>
      </c>
      <c r="AF20" s="6" t="inlineStr">
        <is>
          <t>§ 15(a): damages and equitable relief, including injunctive relief, in superior court or D. Mass. § 15(c): reasonable costs and attorneys' fees when the other side's claims or defenses were in bad faith. § 15(b): parties must meet and confer before suit. § 15(d): a settlement offer can cap the award.</t>
        </is>
      </c>
      <c r="AG20" s="6" t="inlineStr"/>
      <c r="AH20" s="6" t="inlineStr">
        <is>
          <t>Mass. Gen. Laws ch. 93B, §§ 3(a), 9(i), 15</t>
        </is>
      </c>
      <c r="AI20" s="6" t="inlineStr">
        <is>
          <t>Mass. Gen. Laws ch. 93B, § 9(b) (compensation, labor-rate method); ch. 93B, § 9(b)(4) (claims); § 9(c)-(h) (audits/chargebacks); ch. 93B, §§ 3(a), 9(i), 15 (remedies)</t>
        </is>
      </c>
      <c r="AJ20" s="6" t="inlineStr">
        <is>
          <t>https://malegislature.gov/Laws/GeneralLaws/PartI/TitleXV/Chapter93B/Section9</t>
        </is>
      </c>
      <c r="AK20" s="6" t="inlineStr">
        <is>
          <t>official</t>
        </is>
      </c>
      <c r="AL20" s="6" t="inlineStr">
        <is>
          <t>high</t>
        </is>
      </c>
      <c r="AM20" s="6" t="inlineStr">
        <is>
          <t>2026-09-25</t>
        </is>
      </c>
      <c r="AN20" s="6" t="inlineStr">
        <is>
          <t>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is>
      </c>
    </row>
    <row r="21">
      <c r="A21" s="6" t="inlineStr">
        <is>
          <t>MD</t>
        </is>
      </c>
      <c r="B21" s="6" t="inlineStr">
        <is>
          <t>Maryland</t>
        </is>
      </c>
      <c r="C21" s="6" t="n">
        <v>30</v>
      </c>
      <c r="D21" s="6" t="inlineStr">
        <is>
          <t>Yes</t>
        </is>
      </c>
      <c r="E21" s="6" t="n">
        <v>30</v>
      </c>
      <c r="F21" s="6" t="inlineStr">
        <is>
          <t>after approval</t>
        </is>
      </c>
      <c r="G21" s="6" t="inlineStr"/>
      <c r="H21" s="6" t="inlineStr"/>
      <c r="I21" s="6" t="inlineStr">
        <is>
          <t>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is>
      </c>
      <c r="J21" s="6" t="inlineStr">
        <is>
          <t>Approved or disapproved within 30 days of receipt. … A claim not approved or disapproved within 30 days of receipt shall be deemed approved. … Payment of or credit issued on a claim … shall be made within 30 days of approval.</t>
        </is>
      </c>
      <c r="K21" s="6" t="inlineStr">
        <is>
          <t>Transp. § 15-212(c)(9)(i)-(iii)</t>
        </is>
      </c>
      <c r="L21" s="6" t="n">
        <v>9</v>
      </c>
      <c r="M21" s="6" t="inlineStr">
        <is>
          <t>The 9-month limit does not limit the right to audit any claim or to charge back any claim proven fraudulent</t>
        </is>
      </c>
      <c r="N21" s="6" t="inlineStr">
        <is>
          <t>Chargeback only of claims the mfr shows are false or unsubstantiated, within 9 months from payment or credit. Audits follow GAAP. No audit solely because the dealer requests retail-rate reimbursement ((c)(7)(v)). (c)(14) protections apply</t>
        </is>
      </c>
      <c r="O21" s="6" t="inlineStr">
        <is>
          <t>If a claim … is shown by the manufacturer or distributor to be false or unsubstantiated, the manufacturer or distributor may charge back the claim within 9 months from the date the claim was paid or credit issued.</t>
        </is>
      </c>
      <c r="P21" s="6" t="inlineStr">
        <is>
          <t>Transp. § 15-212(c)(11)(i)</t>
        </is>
      </c>
      <c r="Q21" s="6" t="inlineStr">
        <is>
          <t>Not more than once in 1 year; a revision or supplement to correct or clarify is not a new submission</t>
        </is>
      </c>
      <c r="R21" s="6" t="inlineStr">
        <is>
          <t>100 ROs or 90 days (fewer of the two samples); ROs &lt;= 180 days old</t>
        </is>
      </c>
      <c r="S21" s="6" t="inlineStr"/>
      <c r="T21" s="6" t="inlineStr">
        <is>
          <t>Accessories; Discounted / promotional; Collision / body / glass; State inspections; Insurance-paid; Service-contract paid; Routine maintenance; Tires; Prep / reconditioning; Goodwill; Other (see text)</t>
        </is>
      </c>
      <c r="U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V21" s="6" t="inlineStr">
        <is>
          <t>If approved, payment under the schedule begins within 30 days after approval. With no timely rebuttal, it takes effect on the 31st day after receipt. After a rebuttal, it begins on the 31st day after a final order, unless the fact finder provides otherwise</t>
        </is>
      </c>
      <c r="W21" s="6" t="inlineStr">
        <is>
          <t>whichever of the following produces fewer repair orders closed, as of the date of submission, within the preceding 180 days: 1. 100 qualifying sequential customer–paid repair orders; or 2. 90 days of qualifying customer–paid repair orders.</t>
        </is>
      </c>
      <c r="X21" s="6" t="inlineStr">
        <is>
          <t>Transp. § 15-212(c)(3)(i)</t>
        </is>
      </c>
      <c r="Y21" s="6" t="n">
        <v>30</v>
      </c>
      <c r="Z21" s="6" t="inlineStr">
        <is>
          <t>Yes</t>
        </is>
      </c>
      <c r="AA21" s="6" t="inlineStr">
        <is>
          <t>Rebuttal must consist of reasonable substantiating evidence that the declared rate is materially inaccurate. In any action, the issues are limited to material inaccuracy and the licensee bears the burden ((c)(6)(v), (vii))</t>
        </is>
      </c>
      <c r="AB21" s="6" t="inlineStr">
        <is>
          <t>Rebuttal delivered within 30 days of receipt. The licensee may not calculate its own rate or require any other method ((c)(7)(i)). It may verify effective rates once a year and raise or lower the rate prospectively ((c)(6)(viii))</t>
        </is>
      </c>
      <c r="AC21" s="6" t="inlineStr">
        <is>
          <t>MVA license action and Administrator orders (§ 15-212(b), (d)); civil action for damages (§ 15-213); proceedings under § 15-214</t>
        </is>
      </c>
      <c r="AD21" s="6" t="inlineStr">
        <is>
          <t>The licensee shall approve or rebut the dealer's submission within 30 days of receipt. … In the absence of a timely rebuttal by the licensee, the schedule of compensation submitted by the dealer shall go into effect on the 31st day</t>
        </is>
      </c>
      <c r="AE21" s="6" t="inlineStr">
        <is>
          <t>Transp. § 15-212(c)(6)(ii), (iv)</t>
        </is>
      </c>
      <c r="AF21" s="6" t="inlineStr">
        <is>
          <t>Damages and reasonable attorneys' fees for financial injury from a subtitle violation, in any court of competent jurisdiction (§ 15-213)</t>
        </is>
      </c>
      <c r="AG21" s="6" t="inlineStr">
        <is>
          <t>License refusal, suspension, revocation or nonrenewal for failing to comply with a written warranty agreement or to reasonably compensate for warranty work ((b)(2)-(3)). The Administrator may fine up to $50,000 per violation and order compensation for financial injury ((d))</t>
        </is>
      </c>
      <c r="AH21" s="6" t="inlineStr">
        <is>
          <t>Md. Code, Transp. §§ 15-212(b), (d); 15-213</t>
        </is>
      </c>
      <c r="AI21" s="6" t="inlineStr">
        <is>
          <t>Md. Code, Transp. § 15-212(c); Md. Code, Transp. § 15-212(b)(2)-(3); Md. Code, Transp. § 15-212(d); Md. Code, Transp. § 15-213</t>
        </is>
      </c>
      <c r="AJ21" s="6" t="inlineStr">
        <is>
          <t>https://mgaleg.maryland.gov/mgawebsite/Laws/StatuteText?article=gtr&amp;section=15-212&amp;enactments=false</t>
        </is>
      </c>
      <c r="AK21" s="6" t="inlineStr">
        <is>
          <t>official</t>
        </is>
      </c>
      <c r="AL21" s="6" t="inlineStr">
        <is>
          <t>high</t>
        </is>
      </c>
      <c r="AM21" s="6" t="inlineStr">
        <is>
          <t>2026-09-25</t>
        </is>
      </c>
      <c r="AN21" s="6" t="inlineStr">
        <is>
          <t>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is>
      </c>
    </row>
    <row r="22">
      <c r="A22" s="6" t="inlineStr">
        <is>
          <t>ME</t>
        </is>
      </c>
      <c r="B22" s="6" t="inlineStr">
        <is>
          <t>Maine</t>
        </is>
      </c>
      <c r="C22" s="6" t="n">
        <v>60</v>
      </c>
      <c r="D22" s="6" t="inlineStr">
        <is>
          <t>Silent</t>
        </is>
      </c>
      <c r="E22" s="6" t="n">
        <v>60</v>
      </c>
      <c r="F22" s="6" t="inlineStr">
        <is>
          <t>after approval</t>
        </is>
      </c>
      <c r="G22" s="6" t="inlineStr">
        <is>
          <t>A claim may be submitted within 90 days after the services are performed</t>
        </is>
      </c>
      <c r="H22" s="6" t="inlineStr">
        <is>
          <t>The franchisor may not deny claim elements based on an incidental failure to meet a claim requirement, a clerical error or another technicality, if the dealer corrects it under licensee guidelines (§ 1176; § 1176-A for paid claims)</t>
        </is>
      </c>
      <c r="I22" s="6" t="inlineStr">
        <is>
          <t>Written notice within the 60-day period, with the specific reasons for disapproval</t>
        </is>
      </c>
      <c r="J22" s="6" t="inlineStr">
        <is>
          <t>must be paid within 60 days of its approval. All the claims must be either approved or disapproved within 60 days of their receipt. A claim may be submitted within 90 days after the performance of services.</t>
        </is>
      </c>
      <c r="K22" s="6" t="inlineStr">
        <is>
          <t>10 M.R.S. § 1176, ¶1</t>
        </is>
      </c>
      <c r="L22" s="6" t="inlineStr"/>
      <c r="M22" s="6" t="inlineStr"/>
      <c r="N22" s="6" t="inlineStr">
        <is>
          <t>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is>
      </c>
      <c r="O22" s="6" t="inlineStr">
        <is>
          <t>A manufacturer may reasonably and periodically audit a new motor vehicle dealer to determine the validity of paid claims or any charge-backs for customer or dealer incentives. Audits of incentive payments may be only for the 12-month period immediately preceding</t>
        </is>
      </c>
      <c r="P22" s="6" t="inlineStr">
        <is>
          <t>10 M.R.S. § 1176-A</t>
        </is>
      </c>
      <c r="Q22" s="6" t="inlineStr"/>
      <c r="R22" s="6" t="inlineStr">
        <is>
          <t>No statutory labor-rate sample</t>
        </is>
      </c>
      <c r="S22" s="6" t="inlineStr">
        <is>
          <t>Retail rate customarily charged by the dealer for the same labor when not performed under warranty, provided the nonwarranty labor rate is routinely posted in a place conspicuous to service customers</t>
        </is>
      </c>
      <c r="T22" s="6" t="inlineStr"/>
      <c r="U22" s="6" t="inlineStr">
        <is>
          <t>None for labor. Parts-markup sample only: excludes warranty repairs, state inspection, routine maintenance such as oil and oil filter changes, and accessories</t>
        </is>
      </c>
      <c r="V22" s="6" t="inlineStr"/>
      <c r="W22" s="6" t="inlineStr">
        <is>
          <t>reimburse the franchisee for any labor so performed at the retail rate customarily charged by that franchisee for the same labor when not performed in satisfaction of a warranty; as long as the franchisee's rate … is routinely posted</t>
        </is>
      </c>
      <c r="X22" s="6" t="inlineStr">
        <is>
          <t>10 M.R.S. § 1176, ¶1</t>
        </is>
      </c>
      <c r="Y22" s="6" t="inlineStr"/>
      <c r="Z22" s="6" t="inlineStr">
        <is>
          <t>Silent</t>
        </is>
      </c>
      <c r="AA22" s="6" t="inlineStr"/>
      <c r="AB22" s="6" t="inlineStr"/>
      <c r="AC22" s="6" t="inlineStr">
        <is>
          <t>Complaint to the Maine Motor Vehicle Franchise Board (§ 1188; Board rules set a hearing within 120 days and a $1,500 filing fee, 29-250 C.M.R. ch. 14, § 3), or a court action (§ 1173). A dealer who wins a suit on a disapproved claim recovers costs and reasonable attorney fees (§ 1176)</t>
        </is>
      </c>
      <c r="AD22" s="6" t="inlineStr">
        <is>
          <t>Shall review written complaints filed with the board by persons complaining of conduct governed by this chapter</t>
        </is>
      </c>
      <c r="AE22" s="6" t="inlineStr">
        <is>
          <t>10 M.R.S. § 1188(1)</t>
        </is>
      </c>
      <c r="AF22" s="6" t="inlineStr">
        <is>
          <t>Damages and equitable relief incl. an injunction; mandatory attorney's fees and costs to a prevailing dealer (§ 1173(1)). Court costs and reasonable attorney fees, based on time, to a dealer who successfully sues on a disapproved claim (§ 1176)</t>
        </is>
      </c>
      <c r="AG22" s="6" t="inlineStr">
        <is>
          <t>Franchise Board civil penalty of $1,000-$10,000 per violation; multiple transactions within 60 days count as one violation (§ 1171-B(3); § 1188(3)). A violation of the chapter (other than § 1174-D) is a Class E crime (§ 1186)</t>
        </is>
      </c>
      <c r="AH22" s="6" t="inlineStr">
        <is>
          <t>10 M.R.S. §§ 1171-B(3), 1173(1), 1176, 1186, 1188</t>
        </is>
      </c>
      <c r="AI22" s="6" t="inlineStr">
        <is>
          <t>10 M.R.S. § 1176; 10 M.R.S. § 1176-A; 10 M.R.S. § 1174(3)(C-3), (5); 10 M.R.S. § 1173(1); 10 M.R.S. §§ 1171-B(3), 1188; 10 M.R.S. § 1186</t>
        </is>
      </c>
      <c r="AJ22" s="6" t="inlineStr">
        <is>
          <t>https://legislature.maine.gov/statutes/10/title10sec1176.html</t>
        </is>
      </c>
      <c r="AK22" s="6" t="inlineStr">
        <is>
          <t>official</t>
        </is>
      </c>
      <c r="AL22" s="6" t="inlineStr">
        <is>
          <t>high</t>
        </is>
      </c>
      <c r="AM22" s="6" t="inlineStr">
        <is>
          <t>2026-10-06</t>
        </is>
      </c>
      <c r="AN22" s="6" t="inlineStr">
        <is>
          <t>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t>
        </is>
      </c>
    </row>
    <row r="23">
      <c r="A23" s="6" t="inlineStr">
        <is>
          <t>MI</t>
        </is>
      </c>
      <c r="B23" s="6" t="inlineStr">
        <is>
          <t>Michigan</t>
        </is>
      </c>
      <c r="C23" s="6" t="n">
        <v>30</v>
      </c>
      <c r="D23" s="6" t="inlineStr">
        <is>
          <t>Yes</t>
        </is>
      </c>
      <c r="E23" s="6" t="n">
        <v>30</v>
      </c>
      <c r="F23" s="6" t="inlineStr">
        <is>
          <t>after approval</t>
        </is>
      </c>
      <c r="G23" s="6" t="inlineStr"/>
      <c r="H23" s="6" t="inlineStr">
        <is>
          <t>No right to resubmit is stated. A claim may not be denied for an incidental failure to follow a processing requirement, such as a clerical error, that does not question legitimacy ((6)).</t>
        </is>
      </c>
      <c r="I23" s="6" t="inlineStr">
        <is>
          <t>Must be 'specifically disapproved in writing' within 30 days after receipt of the claim form</t>
        </is>
      </c>
      <c r="J23" s="6" t="inlineStr">
        <is>
          <t>Any claim not specifically disapproved in writing within 30 days after the manufacturer receives the claim form is considered approved, and the manufacturer shall pay the claim within 30 days.</t>
        </is>
      </c>
      <c r="K23" s="6" t="inlineStr">
        <is>
          <t>Mich. Comp. Laws § 445.1577(3); (6)</t>
        </is>
      </c>
      <c r="L23" s="6" t="n">
        <v>12</v>
      </c>
      <c r="M23" s="6" t="inlineStr">
        <is>
          <t>6 years after payment for fraudulent claims</t>
        </is>
      </c>
      <c r="N23" s="6" t="inlineStr">
        <is>
          <t>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is>
      </c>
      <c r="O23" s="6" t="inlineStr">
        <is>
          <t>the manufacturer may not charge back the amount paid if the claim is found to be false, unsubstantiated, to lack proper documentation, or show an improper diagnosis process or repair procedures more than 12 months after payment.</t>
        </is>
      </c>
      <c r="P23" s="6" t="inlineStr">
        <is>
          <t>Mich. Comp. Laws § 445.1577(4)(b); fraud (4)(a); (5), (10), (11)</t>
        </is>
      </c>
      <c r="Q23" s="6" t="inlineStr">
        <is>
          <t>once per calendar year</t>
        </is>
      </c>
      <c r="R23" s="6" t="inlineStr">
        <is>
          <t>100 ROs or 90 days (fewer of the two samples); ROs &lt;= 180 days old</t>
        </is>
      </c>
      <c r="S23" s="6" t="inlineStr">
        <is>
          <t>total labor sales from the submitted ROs ÷ total number of hours that generated those sales</t>
        </is>
      </c>
      <c r="T23" s="6" t="inlineStr">
        <is>
          <t>Discounted / promotional; Other (see text); Routine maintenance; Tires; Prep / reconditioning; Accessories; Collision / body / glass; State inspections; Goodwill; Government</t>
        </is>
      </c>
      <c r="U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V23" s="6" t="inlineStr">
        <is>
          <t>30 days after manufacturer approval, unless the manufacturer disapproves and timely contests</t>
        </is>
      </c>
      <c r="W23" s="6" t="inlineStr">
        <is>
          <t>100 consecutive and sequential nonwarranty customer-paid service repair orders that contain repairs for like services or all nonwarranty customer-paid service repair orders covering a period of 90 consecutive days, whichever is less.</t>
        </is>
      </c>
      <c r="X23" s="6" t="inlineStr">
        <is>
          <t>Mich. Comp. Laws § 445.1577a(2)(a); formula (2)(c); exclusions (3); frequency (5)</t>
        </is>
      </c>
      <c r="Y23" s="6" t="n">
        <v>45</v>
      </c>
      <c r="Z23" s="6" t="inlineStr">
        <is>
          <t>Yes</t>
        </is>
      </c>
      <c r="AA23" s="6" t="inlineStr">
        <is>
          <t>Contest within 45 days by 'reasonably substantiating that the rate is inaccurate, incomplete, or unreasonable' in light of the principal factor: retail labor rates of similarly situated same line-make dealers in a comparable geographic area of Michigan ((1)(b))</t>
        </is>
      </c>
      <c r="AB23" s="6" t="inlineStr">
        <is>
          <t>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is>
      </c>
      <c r="AC23" s="6" t="inlineStr">
        <is>
          <t>Circuit court of the dealer's county. File within 60 days after receiving the proposed adjustment or 30 days after internal dispute resolution ends, whichever is later. The manufacturer bears the burden of proof.</t>
        </is>
      </c>
      <c r="AD23" s="6" t="inlineStr">
        <is>
          <t>The manufacturer must approve or disapprove the declared retail rate within 45 days after the date the dealer submits the repair orders.</t>
        </is>
      </c>
      <c r="AE23" s="6" t="inlineStr">
        <is>
          <t>Mich. Comp. Laws § 445.1577a(2)(c)-(e)</t>
        </is>
      </c>
      <c r="AF23" s="6" t="inlineStr">
        <is>
          <t>§ 445.1580(2): the manufacturer is liable for all damages the dealer sustains from a violation. (3): declaratory judgment. (4): all court costs and reasonable attorney fees. § 445.1581: injunctive relief or TRO, which may be granted without bond.</t>
        </is>
      </c>
      <c r="AG23" s="6" t="inlineStr"/>
      <c r="AH23" s="6" t="inlineStr">
        <is>
          <t>Mich. Comp. Laws §§ 445.1580, 445.1581</t>
        </is>
      </c>
      <c r="AI23" s="6" t="inlineStr">
        <is>
          <t>Mich. Comp. Laws § 445.1577a (labor-rate method); Mich. Comp. Laws § 445.1577(1), (3)-(11) (compensation, claims, chargebacks, audits); Mich. Comp. Laws §§ 445.1580, 445.1581 (remedies)</t>
        </is>
      </c>
      <c r="AJ23" s="6" t="inlineStr">
        <is>
          <t>https://www.legislature.mi.gov/Laws/MCL?objectName=mcl-445-1577 ; https://www.legislature.mi.gov/Laws/MCL?objectName=mcl-445-1577a</t>
        </is>
      </c>
      <c r="AK23" s="6" t="inlineStr">
        <is>
          <t>official</t>
        </is>
      </c>
      <c r="AL23" s="6" t="inlineStr">
        <is>
          <t>high</t>
        </is>
      </c>
      <c r="AM23" s="6" t="inlineStr">
        <is>
          <t>2026-09-25</t>
        </is>
      </c>
      <c r="AN23" s="6" t="inlineStr">
        <is>
          <t>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is>
      </c>
    </row>
    <row r="24">
      <c r="A24" s="6" t="inlineStr">
        <is>
          <t>MN</t>
        </is>
      </c>
      <c r="B24" s="6" t="inlineStr">
        <is>
          <t>Minnesota</t>
        </is>
      </c>
      <c r="C24" s="6" t="n">
        <v>30</v>
      </c>
      <c r="D24" s="6" t="inlineStr">
        <is>
          <t>Yes</t>
        </is>
      </c>
      <c r="E24" s="6" t="n">
        <v>30</v>
      </c>
      <c r="F24" s="6" t="inlineStr">
        <is>
          <t>after approval</t>
        </is>
      </c>
      <c r="G24" s="6" t="inlineStr"/>
      <c r="H24" s="6" t="inlineStr">
        <is>
          <t>Resubmit within 30 days after notice of a denial or chargeback based on an incidental processing failure, clerical error or administrative technicality</t>
        </is>
      </c>
      <c r="I24" s="6" t="inlineStr">
        <is>
          <t>Must be 'specifically disapproved in writing' within 30 days after receipt. No denial or chargeback based solely on a clerical error or technicality that does not question legitimacy.</t>
        </is>
      </c>
      <c r="J24" s="6" t="inlineStr">
        <is>
          <t>Any claims not specifically disapproved in writing within 30 days after the manufacturer receives them are deemed to be approved and payment must follow within 30 days</t>
        </is>
      </c>
      <c r="K24" s="6" t="inlineStr">
        <is>
          <t>Minn. Stat. § 80E.041, subd. 8(a), (c)</t>
        </is>
      </c>
      <c r="L24" s="6" t="n">
        <v>12</v>
      </c>
      <c r="M24" s="6" t="inlineStr"/>
      <c r="N24" s="6" t="inlineStr">
        <is>
          <t>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is>
      </c>
      <c r="O24" s="6" t="inlineStr">
        <is>
          <t>the manufacturer retains the right to audit the claims for a period of one year and to charge back any amounts paid on claims not reasonably substantiated or fraudulent claims.</t>
        </is>
      </c>
      <c r="P24" s="6" t="inlineStr">
        <is>
          <t>Minn. Stat. § 80E.041, subd. 8(a)-(c)</t>
        </is>
      </c>
      <c r="Q24" s="6" t="inlineStr">
        <is>
          <t>once per year</t>
        </is>
      </c>
      <c r="R24" s="6" t="inlineStr">
        <is>
          <t>100 ROs or 90 days (fewer of the two samples); ROs &lt;= 180 days old</t>
        </is>
      </c>
      <c r="S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T24" s="6" t="inlineStr">
        <is>
          <t>Discounted / promotional; Other (see text); Engine / transmission assembly; Routine maintenance; Tires; Prep / reconditioning; Accessories</t>
        </is>
      </c>
      <c r="U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V24" s="6" t="inlineStr"/>
      <c r="W24" s="6" t="inlineStr">
        <is>
          <t>The effective nonwarranty labor rate is determined by dividing the total customer labor charges for qualifying nonwarranty repairs in the repair orders submitted under subdivision 2 by the total number of labor hours that generated those sales.</t>
        </is>
      </c>
      <c r="X24" s="6" t="inlineStr">
        <is>
          <t>Minn. Stat. § 80E.041, subd. 4(a); sample subd. 2(a); exclusions subd. 2(d); frequency subd. 5</t>
        </is>
      </c>
      <c r="Y24" s="6" t="n">
        <v>30</v>
      </c>
      <c r="Z24" s="6" t="inlineStr">
        <is>
          <t>Yes</t>
        </is>
      </c>
      <c r="AA24" s="6" t="inlineStr">
        <is>
          <t>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is>
      </c>
      <c r="AB24" s="6" t="inlineStr">
        <is>
          <t>Written disapproval sent within 30 days of submission, with substantiation and a proposed adjusted rate. Then the manufacturer's internal dispute resolution procedure, if any.</t>
        </is>
      </c>
      <c r="AC24" s="6" t="inlineStr">
        <is>
          <t>Civil suit under § 80E.17, filed within 60 days after receiving the proposed adjustment or the end of internal dispute resolution, whichever is later</t>
        </is>
      </c>
      <c r="AD24" s="6" t="inlineStr">
        <is>
          <t>If a manufacturer fails to approve or disapprove the rate within this time period, the rate is approved.</t>
        </is>
      </c>
      <c r="AE24" s="6" t="inlineStr">
        <is>
          <t>Minn. Stat. § 80E.041, subd. 4(b)-(c); subd. 7</t>
        </is>
      </c>
      <c r="AF24" s="6" t="inlineStr">
        <is>
          <t>§ 80E.17: injunction against further violations, actual damages, and costs and disbursements including reasonable attorney's fees</t>
        </is>
      </c>
      <c r="AG24" s="6" t="inlineStr">
        <is>
          <t>§ 80E.16 subd. 1: fine up to $2,000 per violation of § 80E.041, and up to $25,000 for failing to comply with a final judgment or order. Imposed in a civil action brought by the Attorney General.</t>
        </is>
      </c>
      <c r="AH24" s="6" t="inlineStr">
        <is>
          <t>Minn. Stat. §§ 80E.16, 80E.17</t>
        </is>
      </c>
      <c r="AI24" s="6" t="inlineStr">
        <is>
          <t>Minn. Stat. § 80E.041, subds. 1-7 (compensation; labor rate); Minn. Stat. § 80E.041, subd. 8 (claims, audit, chargeback); Minn. Stat. §§ 80E.16 (civil penalty), 80E.17 (civil remedies)</t>
        </is>
      </c>
      <c r="AJ24" s="6" t="inlineStr">
        <is>
          <t>https://www.revisor.mn.gov/statutes/cite/80E.041</t>
        </is>
      </c>
      <c r="AK24" s="6" t="inlineStr">
        <is>
          <t>official</t>
        </is>
      </c>
      <c r="AL24" s="6" t="inlineStr">
        <is>
          <t>high</t>
        </is>
      </c>
      <c r="AM24" s="6" t="inlineStr">
        <is>
          <t>2026-09-25</t>
        </is>
      </c>
      <c r="AN24" s="6" t="inlineStr">
        <is>
          <t>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is>
      </c>
    </row>
    <row r="25">
      <c r="A25" s="6" t="inlineStr">
        <is>
          <t>MO</t>
        </is>
      </c>
      <c r="B25" s="6" t="inlineStr">
        <is>
          <t>Missouri</t>
        </is>
      </c>
      <c r="C25" s="6" t="n">
        <v>30</v>
      </c>
      <c r="D25" s="6" t="inlineStr">
        <is>
          <t>Yes</t>
        </is>
      </c>
      <c r="E25" s="6" t="n">
        <v>30</v>
      </c>
      <c r="F25" s="6" t="inlineStr">
        <is>
          <t>after approval</t>
        </is>
      </c>
      <c r="G25" s="6" t="inlineStr">
        <is>
          <t>No statutory deadline. The franchisor may not require a claim to be submitted sooner than 30 days after the work is completed.</t>
        </is>
      </c>
      <c r="H25" s="6" t="inlineStr">
        <is>
          <t>If a claim is incomplete or inaccurate, the franchisor must promptly notify the dealer, and the filing deadline extends at least 5 business days after that notice</t>
        </is>
      </c>
      <c r="I25" s="6" t="inlineStr">
        <is>
          <t>Must be 'specifically disapproved in writing' within 30 days after receipt. Written notice of an adverse decision starts the dealer's 60-day window to complain to the Administrative Hearing Commission.</t>
        </is>
      </c>
      <c r="J25" s="6" t="inlineStr">
        <is>
          <t>Any claims not specifically disapproved in writing within thirty days after the receipt of the form shall be considered to be approved and payment shall be made within fifteen days thereafter.</t>
        </is>
      </c>
      <c r="K25" s="6" t="inlineStr">
        <is>
          <t>Mo. Rev. Stat. § 407.828.4; .10; .12</t>
        </is>
      </c>
      <c r="L25" s="6" t="n">
        <v>12</v>
      </c>
      <c r="M25" s="6" t="inlineStr">
        <is>
          <t>2 years after payment for suspected fraudulent claims, if the franchisor has good cause to believe fraud</t>
        </is>
      </c>
      <c r="N25" s="6" t="inlineStr">
        <is>
          <t>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is>
      </c>
      <c r="O25" s="6" t="inlineStr">
        <is>
          <t>A franchisor may only audit warranty, sales, or incentive claims and charge-back to the franchisee unsubstantiated claims for a period of twelve months following payment, subject to all of the provisions of this section.</t>
        </is>
      </c>
      <c r="P25" s="6" t="inlineStr">
        <is>
          <t>Mo. Rev. Stat. § 407.828.11(1)-(3); .12</t>
        </is>
      </c>
      <c r="Q25" s="6" t="inlineStr">
        <is>
          <t>twice per calendar year (requests for a different labor rate or parts rate)</t>
        </is>
      </c>
      <c r="R25" s="6" t="inlineStr">
        <is>
          <t>No statutory labor-rate sample</t>
        </is>
      </c>
      <c r="S25" s="6" t="inlineStr"/>
      <c r="T25" s="6" t="inlineStr">
        <is>
          <t>Discounted / promotional; Other (see text); Engine / transmission assembly; Routine maintenance; Tires; Prep / reconditioning</t>
        </is>
      </c>
      <c r="U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V25" s="6" t="inlineStr"/>
      <c r="W25" s="6" t="inlineStr">
        <is>
          <t>A franchisee shall not request a franchisor to approve a different labor rate or parts rate more than twice in one calendar year.</t>
        </is>
      </c>
      <c r="X25" s="6" t="inlineStr">
        <is>
          <t>Mo. Rev. Stat. § 407.828.9; exclusions .7; principal factor .2</t>
        </is>
      </c>
      <c r="Y25" s="6" t="inlineStr"/>
      <c r="Z25" s="6" t="inlineStr">
        <is>
          <t>Silent</t>
        </is>
      </c>
      <c r="AA25" s="6" t="inlineStr">
        <is>
          <t>Principal factor for reasonable labor compensation: 'the prevailing wage rates being charged for similar labor and service by the franchisee' to retail customers for nonwarranty work (the dealer's own rates since the 2023 amendment)</t>
        </is>
      </c>
      <c r="AB25" s="6" t="inlineStr"/>
      <c r="AC25" s="6" t="inlineStr">
        <is>
          <t>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is>
      </c>
      <c r="AD25" s="6" t="inlineStr">
        <is>
          <t>If a complaint is filed within the sixty days, then the denial or reduction of reimbursement, denial of a request for an increase in labor or parts rate, charge-back, or other determination by a franchisor</t>
        </is>
      </c>
      <c r="AE25" s="6" t="inlineStr">
        <is>
          <t>Mo. Rev. Stat. § 407.828.12; principal factor § 407.828.2</t>
        </is>
      </c>
      <c r="AF25" s="6" t="inlineStr">
        <is>
          <t>§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is>
      </c>
      <c r="AG25" s="6" t="inlineStr">
        <is>
          <t>Department of Revenue may refuse, suspend or revoke a license issued under §§ 301.550-301.580 (which includes manufacturers under § 301.559) for violating chapter 407, after AHC proceedings (§ 301.562.2(6), .3)</t>
        </is>
      </c>
      <c r="AH25" s="6" t="inlineStr">
        <is>
          <t>Mo. Rev. Stat. §§ 407.822, 407.828.12, 407.835; § 301.562</t>
        </is>
      </c>
      <c r="AI25" s="6" t="inlineStr">
        <is>
          <t>Mo. Rev. Stat. § 407.828.1-.2, .7, .9 (compensation; exclusions; rate requests); Mo. Rev. Stat. § 407.828.4, .10-.12 (claims; audits/chargebacks; AHC complaints); Mo. Rev. Stat. §§ 407.822, 407.835; § 301.562 (remedies; license discipline)</t>
        </is>
      </c>
      <c r="AJ25" s="6" t="inlineStr">
        <is>
          <t>https://revisor.mo.gov/main/OneSection.aspx?section=407.828</t>
        </is>
      </c>
      <c r="AK25" s="6" t="inlineStr">
        <is>
          <t>official</t>
        </is>
      </c>
      <c r="AL25" s="6" t="inlineStr">
        <is>
          <t>high</t>
        </is>
      </c>
      <c r="AM25" s="6" t="inlineStr">
        <is>
          <t>2026-09-25</t>
        </is>
      </c>
      <c r="AN25" s="6" t="inlineStr">
        <is>
          <t>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is>
      </c>
    </row>
    <row r="26">
      <c r="A26" s="6" t="inlineStr">
        <is>
          <t>MS</t>
        </is>
      </c>
      <c r="B26" s="6" t="inlineStr">
        <is>
          <t>Mississippi</t>
        </is>
      </c>
      <c r="C26" s="6" t="n">
        <v>30</v>
      </c>
      <c r="D26" s="6" t="inlineStr">
        <is>
          <t>Silent</t>
        </is>
      </c>
      <c r="E26" s="6" t="n">
        <v>30</v>
      </c>
      <c r="F26" s="6" t="inlineStr">
        <is>
          <t>after approval</t>
        </is>
      </c>
      <c r="G26" s="6" t="inlineStr"/>
      <c r="H26" s="6" t="inlineStr">
        <is>
          <t>None stated for warranty claims. The 60-day amended/supplemental-claim right in § 63-17-117(3) covers incentive claims only.</t>
        </is>
      </c>
      <c r="I26" s="6" t="inlineStr">
        <is>
          <t>Written notice of disapproval within the 30 days, stating 'the specific grounds upon which the disapproval is based'. No denial based solely on an incidental clerical or administrative failure that does not question legitimacy (§ 63-17-117(3)).</t>
        </is>
      </c>
      <c r="J26" s="6" t="inlineStr">
        <is>
          <t>All claims made by motor vehicle dealers hereunder for such labor and/or parts shall be paid within thirty (30) days following their approval. All such claims shall be either approved or disapproved within thirty (30) days after their receipt</t>
        </is>
      </c>
      <c r="K26" s="6" t="inlineStr">
        <is>
          <t>Miss. Code Ann. § 63-17-85(j) (codified text, Justia 2025); § 63-17-117(3)</t>
        </is>
      </c>
      <c r="L26" s="6" t="n">
        <v>12</v>
      </c>
      <c r="M26" s="6" t="inlineStr">
        <is>
          <t>Audit and chargeback limits 'shall not be effective in the case of intentionally false or fraudulent claims' (no cap)</t>
        </is>
      </c>
      <c r="N26" s="6" t="inlineStr">
        <is>
          <t>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is>
      </c>
      <c r="O26" s="6" t="inlineStr">
        <is>
          <t>Any audit for warranty parts or service compensation shall be performed within the twelve-month period immediately following the date of the payment of the disputed claim by the manufacturer or distributor.</t>
        </is>
      </c>
      <c r="P26" s="6" t="inlineStr">
        <is>
          <t>Miss. Code Ann. § 63-17-117(1); (2), (4)</t>
        </is>
      </c>
      <c r="Q26" s="6" t="inlineStr">
        <is>
          <t>once per twelve-month period</t>
        </is>
      </c>
      <c r="R26" s="6" t="inlineStr">
        <is>
          <t>100 ROs or 90 days (fewer of the two samples); ROs &lt;= 180 days old</t>
        </is>
      </c>
      <c r="S26" s="6" t="inlineStr">
        <is>
          <t>total charges for labor from the qualified repairs submitted ÷ total number of hours that produced those charges</t>
        </is>
      </c>
      <c r="T26" s="6" t="inlineStr">
        <is>
          <t>Discounted / promotional; Other (see text); Internal; Routine maintenance; Accessories; Tires; Alignments; Prep / reconditioning; State inspections; Government; Insurance-paid; Collision / body / glass; Goodwill</t>
        </is>
      </c>
      <c r="U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V26" s="6" t="inlineStr">
        <is>
          <t>45 days after the manufacturer receives the submission, unless rebutted within that period</t>
        </is>
      </c>
      <c r="W26" s="6" t="inlineStr">
        <is>
          <t>all consecutive repair orders that include one hundred (100) sequential repair orders reflecting qualified repairs, or all repair orders closed during any period of ninety (90) consecutive days, whichever produces the fewer number of repair orders</t>
        </is>
      </c>
      <c r="X26" s="6" t="inlineStr">
        <is>
          <t>Miss. Code Ann. § 63-17-86(1); formula (2); frequency (3); exclusions (4); definitions § 63-17-55(ff)-(hh)</t>
        </is>
      </c>
      <c r="Y26" s="6" t="n">
        <v>45</v>
      </c>
      <c r="Z26" s="6" t="inlineStr">
        <is>
          <t>Yes</t>
        </is>
      </c>
      <c r="AA26" s="6" t="inlineStr">
        <is>
          <t>The submitted rate is presumed reasonable. To rebut, the manufacturer must reasonably substantiate that it is 'materially incomplete, materially inaccurate or ... materially unreasonable'.</t>
        </is>
      </c>
      <c r="AB26" s="6" t="inlineStr">
        <is>
          <t>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is>
      </c>
      <c r="AC26" s="6" t="inlineStr">
        <is>
          <t>Protest to the Mississippi Motor Vehicle Commission within 60 days of the written rejection. The manufacturer bears the burden by a preponderance. A dealer win is retroactive to day 45 after the original submission.</t>
        </is>
      </c>
      <c r="AD26" s="6" t="inlineStr">
        <is>
          <t>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is>
      </c>
      <c r="AE26" s="6" t="inlineStr">
        <is>
          <t>Miss. Code Ann. § 63-17-86(5)-(6)</t>
        </is>
      </c>
      <c r="AF26" s="6" t="inlineStr">
        <is>
          <t>§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is>
      </c>
      <c r="AG26" s="6" t="inlineStr">
        <is>
          <t>§ 63-17-85(j)-(k): Motor Vehicle Commission may deny, suspend or revoke the manufacturer's license. In lieu of revocation, a civil penalty up to $10,000. In lieu of suspension, $50-$500 per day, capped at $7,500 total. Unpaid penalties lead to automatic revocation.</t>
        </is>
      </c>
      <c r="AH26" s="6" t="inlineStr">
        <is>
          <t>Miss. Code Ann. §§ 63-17-85, 63-17-101, 63-17-119</t>
        </is>
      </c>
      <c r="AI26" s="6" t="inlineStr">
        <is>
          <t>Miss. Code Ann. §§ 63-17-85(j), 63-17-86 (compensation; labor-rate method); Miss. Code Ann. § 63-17-117 (warranty audits, chargebacks); Miss. Code Ann. §§ 63-17-85 (license sanctions, civil penalty), 63-17-101, 63-17-119 (damages)</t>
        </is>
      </c>
      <c r="AJ26" s="6" t="inlineStr">
        <is>
          <t>https://billstatus.ls.state.ms.us/documents/2021/html/HB/0700-0799/HB0746SG.htm (enrolled HB 746, Laws 2021 ch. 315). Current code mirror: https://law.justia.com/codes/mississippi/title-63/chapter-17/distribution-and-sales/ (2025 code)</t>
        </is>
      </c>
      <c r="AK26" s="6" t="inlineStr">
        <is>
          <t>enrolled_act</t>
        </is>
      </c>
      <c r="AL26" s="6" t="inlineStr">
        <is>
          <t>high</t>
        </is>
      </c>
      <c r="AM26" s="6" t="inlineStr">
        <is>
          <t>2026-10-06</t>
        </is>
      </c>
      <c r="AN26" s="6" t="inlineStr">
        <is>
          <t>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is>
      </c>
    </row>
    <row r="27">
      <c r="A27" s="6" t="inlineStr">
        <is>
          <t>MT</t>
        </is>
      </c>
      <c r="B27" s="6" t="inlineStr">
        <is>
          <t>Montana</t>
        </is>
      </c>
      <c r="C27" s="6" t="n">
        <v>30</v>
      </c>
      <c r="D27" s="6" t="inlineStr">
        <is>
          <t>Silent</t>
        </is>
      </c>
      <c r="E27" s="6" t="n">
        <v>30</v>
      </c>
      <c r="F27" s="6" t="inlineStr">
        <is>
          <t>after approval</t>
        </is>
      </c>
      <c r="G27" s="6" t="inlineStr"/>
      <c r="H27" s="6" t="inlineStr"/>
      <c r="I27" s="6" t="inlineStr">
        <is>
          <t>Written notice of the grounds for disapproval. No denial or reduction where the dealer gave reasonably sufficient documentation of compliance with the manufacturer's known written policies. No denial based solely on a clerical error or administrative technicality.</t>
        </is>
      </c>
      <c r="J27" s="6" t="inlineStr">
        <is>
          <t>All claims for reimbursement must be approved or disapproved within 30 days after receipt of the claim by the motor vehicle franchisor.</t>
        </is>
      </c>
      <c r="K27" s="6" t="inlineStr">
        <is>
          <t>Mont. Code Ann. § 61-4-213(12)(a)-(d)</t>
        </is>
      </c>
      <c r="L27" s="6" t="n">
        <v>12</v>
      </c>
      <c r="M27" s="6" t="inlineStr"/>
      <c r="N27" s="6" t="inlineStr">
        <is>
          <t>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is>
      </c>
      <c r="O27" s="6" t="inlineStr">
        <is>
          <t>A franchisor may not audit a claim after the expiration of 12 months following the payment of the claim.</t>
        </is>
      </c>
      <c r="P27" s="6" t="inlineStr">
        <is>
          <t>Mont. Code Ann. § 61-4-213(12)(b), (e); (8)(e)(v)</t>
        </is>
      </c>
      <c r="Q27" s="6" t="inlineStr">
        <is>
          <t>once per 12-month period</t>
        </is>
      </c>
      <c r="R27" s="6" t="inlineStr">
        <is>
          <t>100 ROs or 90 days (fewer of the two samples); ROs &lt;= 180 days old</t>
        </is>
      </c>
      <c r="S27" s="6" t="inlineStr">
        <is>
          <t>total charges for labor from the qualified repairs submitted ÷ total number of hours charged for those repairs</t>
        </is>
      </c>
      <c r="T27" s="6" t="inlineStr">
        <is>
          <t>Routine maintenance; Tires; Alignments; Government; Insurance-paid; Service-contract paid; Discounted / promotional; Internal; Accessories; Collision / body / glass; State inspections; Prep / reconditioning; Other (see text); Goodwill</t>
        </is>
      </c>
      <c r="U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V27" s="6" t="inlineStr">
        <is>
          <t>30 days after the franchisor receives the dealer's written notice, unless it files a timely objection. A resolved dispute applies retroactively to that date.</t>
        </is>
      </c>
      <c r="W27" s="6" t="inlineStr">
        <is>
          <t>whichever of the following produces the fewer number of repair orders, all of which must be for repairs made no more than 180 days before the submission</t>
        </is>
      </c>
      <c r="X27" s="6" t="inlineStr">
        <is>
          <t>Mont. Code Ann. § 61-4-213(1)(a)(iii), (1)(b); formula (2); frequency (9); exclusions (13)(c)(ii)</t>
        </is>
      </c>
      <c r="Y27" s="6" t="n">
        <v>30</v>
      </c>
      <c r="Z27" s="6" t="inlineStr">
        <is>
          <t>Yes</t>
        </is>
      </c>
      <c r="AA27" s="6" t="inlineStr">
        <is>
          <t>The only permitted ground is that the declared rate is 'materially inaccurate'. In a proceeding the issue is limited to material inaccuracy, and the franchisor bears the burden of proof.</t>
        </is>
      </c>
      <c r="AB27" s="6" t="inlineStr">
        <is>
          <t>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is>
      </c>
      <c r="AC27" s="6" t="inlineStr">
        <is>
          <t>Court, or a contested-case proceeding before 'the department' (§§ 61-4-216, 61-4-217(2)). Resolution is retroactive to day 30 after the submission was received.</t>
        </is>
      </c>
      <c r="AD27" s="6" t="inlineStr">
        <is>
          <t>must go into effect 30 days following the motor vehicle franchisor's receipt of the notice referred to in subsection (2) unless within the 30-day period the franchisor contests the declaration by written notice of objection</t>
        </is>
      </c>
      <c r="AE27" s="6" t="inlineStr">
        <is>
          <t>Mont. Code Ann. § 61-4-213(6)(a)-(c), (7), (8)(a)</t>
        </is>
      </c>
      <c r="AF27" s="6" t="inlineStr">
        <is>
          <t>§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is>
      </c>
      <c r="AG27" s="6" t="inlineStr">
        <is>
          <t>§ 61-4-210(1): misdemeanor, $500-$1,000 per violation, each day a separate violation. (4): department enforcement action and a civil penalty of up to $500 per violation.</t>
        </is>
      </c>
      <c r="AH27" s="6" t="inlineStr">
        <is>
          <t>Mont. Code Ann. §§ 61-4-210, 61-4-216, 61-4-217</t>
        </is>
      </c>
      <c r="AI27" s="6" t="inlineStr">
        <is>
          <t>Mont. Code Ann. § 61-4-213(1)-(9), (13) (reimbursement; labor-rate method; definitions); Mont. Code Ann. § 61-4-213(12) (claims, chargebacks, audits); Mont. Code Ann. §§ 61-4-210, 61-4-216, 61-4-217 (penalties; administrative hearings; standing/remedies)</t>
        </is>
      </c>
      <c r="AJ27" s="6" t="inlineStr">
        <is>
          <t>https://mca.legmt.gov/bills/mca/title_0610/chapter_0040/part_0020/section_0130/0610-0040-0020-0130.html</t>
        </is>
      </c>
      <c r="AK27" s="6" t="inlineStr">
        <is>
          <t>official</t>
        </is>
      </c>
      <c r="AL27" s="6" t="inlineStr">
        <is>
          <t>high</t>
        </is>
      </c>
      <c r="AM27" s="6" t="inlineStr">
        <is>
          <t>2026-09-25</t>
        </is>
      </c>
      <c r="AN27" s="6" t="inlineStr">
        <is>
          <t>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is>
      </c>
    </row>
    <row r="28">
      <c r="A28" s="6" t="inlineStr">
        <is>
          <t>NC</t>
        </is>
      </c>
      <c r="B28" s="6" t="inlineStr">
        <is>
          <t>North Carolina</t>
        </is>
      </c>
      <c r="C28" s="6" t="n">
        <v>30</v>
      </c>
      <c r="D28" s="6" t="inlineStr">
        <is>
          <t>Yes</t>
        </is>
      </c>
      <c r="E28" s="6" t="n">
        <v>30</v>
      </c>
      <c r="F28" s="6" t="inlineStr">
        <is>
          <t>after submission</t>
        </is>
      </c>
      <c r="G28" s="6" t="inlineStr"/>
      <c r="H28" s="6" t="inlineStr"/>
      <c r="I28" s="6" t="inlineStr">
        <is>
          <t>dealer notified in writing of the grounds for disapproval; no denial/reduction if dealer documents a good-faith attempt to follow written procedures and that the work was actually performed</t>
        </is>
      </c>
      <c r="J28" s="6" t="inlineStr">
        <is>
          <t>shall be paid by the manufacturer within 30 days after receipt of claim from the dealer ... Any claim not specifically disapproved in writing within 30 days after receipt shall be considered approved and payment is due immediately.</t>
        </is>
      </c>
      <c r="K28" s="6" t="inlineStr">
        <is>
          <t>§ 20-305.1(b1)</t>
        </is>
      </c>
      <c r="L28" s="6" t="n">
        <v>12</v>
      </c>
      <c r="M28" s="6" t="inlineStr">
        <is>
          <t>Limits 'shall not be effective in the case of fraudulent claims'. For-cause audits (follow-up on a prior documentation violation within 12 months, or reasonable evidence of malfeasance/fraud) are exempt from the once-per-12-months limit.</t>
        </is>
      </c>
      <c r="N28" s="6" t="inlineStr">
        <is>
          <t>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is>
      </c>
      <c r="O28" s="6" t="inlineStr">
        <is>
          <t>Any audit, other than an audit conducted for cause, for warranty or recall parts or service compensation ... shall only be for the 12-month period immediately following the date of the payment of the claim</t>
        </is>
      </c>
      <c r="P28" s="6" t="inlineStr">
        <is>
          <t>§ 20-305.1(b), (b1), (b4), (c)</t>
        </is>
      </c>
      <c r="Q28" s="6" t="inlineStr"/>
      <c r="R28" s="6" t="inlineStr">
        <is>
          <t>100 ROs or 60 days (fewer of the two samples); ROs &lt;= 180 days old</t>
        </is>
      </c>
      <c r="S28" s="6" t="inlineStr"/>
      <c r="T28" s="6" t="inlineStr">
        <is>
          <t>Discounted / promotional; Insurance-paid; Engine / transmission assembly; Routine maintenance; Alignments; Tires; Prep / reconditioning; Other (see text)</t>
        </is>
      </c>
      <c r="U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V28" s="6" t="inlineStr">
        <is>
          <t>Not stated for an unrebutted rate. If the dealer wins a protest, the rate is effective 60 days after the initial submission. If the manufacturer wins, its rate is effective 30 days after the final order.</t>
        </is>
      </c>
      <c r="W28" s="6" t="inlineStr">
        <is>
          <t>may be established at the election of the dealer by the dealer submitting to the manufacturer or distributor 100 sequential nonwarranty customer-paid service repair orders which contain warranty-like parts, or 60 consecutive days of nonwarranty customer-paid service repair orders</t>
        </is>
      </c>
      <c r="X28" s="6" t="inlineStr">
        <is>
          <t>§ 20-305.1(a1), (a2)</t>
        </is>
      </c>
      <c r="Y28" s="6" t="n">
        <v>30</v>
      </c>
      <c r="Z28" s="6" t="inlineStr">
        <is>
          <t>Yes</t>
        </is>
      </c>
      <c r="AA28" s="6" t="inlineStr">
        <is>
          <t>Accuracy only: must reasonably substantiate that the submission is 'inaccurate'. Since 7/1/2025 there is no 'competitive' or market-comparison test.</t>
        </is>
      </c>
      <c r="AB28" s="6" t="inlineStr">
        <is>
          <t>Rebut within 30 days after submission. Propose an adjusted markup/rate based on the correct rate reflected by the submission within 30 days after the audit, and no later than 60 days after submission. No unduly burdensome methods (a4).</t>
        </is>
      </c>
      <c r="AC28" s="6" t="inlineStr">
        <is>
          <t>DMV Commissioner protest (within 30 days of proposal); manufacturer bears burden by preponderance</t>
        </is>
      </c>
      <c r="AD28" s="6" t="inlineStr">
        <is>
          <t>a manufacturer or distributor may, not later than 30 days after submission, rebut that presumption by reasonably substantiating that the submission is inaccurate.</t>
        </is>
      </c>
      <c r="AE28" s="6" t="inlineStr">
        <is>
          <t>§ 20-305.1(a1) (rate 'presumed to be accurate'; 'deemed approved' read from the unrebutted presumption)</t>
        </is>
      </c>
      <c r="AF28" s="6" t="inlineStr">
        <is>
          <t>Damages and equitable/injunctive relief. Punitive damages, attorneys' fees and costs if willful, malicious or wanton, or for continued multiple violations (§ 20-308.1).</t>
        </is>
      </c>
      <c r="AG28" s="6" t="inlineStr">
        <is>
          <t>Commissioner petition/hearing with binding decision (§§ 20-301, 20-305.1(c)). License denial, suspension, probation or revocation for willful noncompliance with the Article (§ 20-294(2)). Class 1 misdemeanor (§ 20-308). The § 20-287 civil penalty (up to $1,000) covers only §§ 20-285 to 20-303, not § 20-305.1.</t>
        </is>
      </c>
      <c r="AH28" s="6" t="inlineStr">
        <is>
          <t>N.C. Gen. Stat. §§ 20-294, 20-301, 20-305.1(c), 20-308, 20-308.1</t>
        </is>
      </c>
      <c r="AI28" s="6" t="inlineStr">
        <is>
          <t>N.C. Gen. Stat. § 20-305.1; N.C. Gen. Stat. § 20-301 (Commissioner petitions); N.C. Gen. Stat. §§ 20-294, 20-308, 20-308.1</t>
        </is>
      </c>
      <c r="AJ28" s="6" t="inlineStr">
        <is>
          <t>https://www.ncleg.gov/EnactedLegislation/Statutes/HTML/BySection/Chapter_20/GS_20-305.1.html</t>
        </is>
      </c>
      <c r="AK28" s="6" t="inlineStr">
        <is>
          <t>official</t>
        </is>
      </c>
      <c r="AL28" s="6" t="inlineStr">
        <is>
          <t>high</t>
        </is>
      </c>
      <c r="AM28" s="6" t="inlineStr">
        <is>
          <t>2026-09-25</t>
        </is>
      </c>
      <c r="AN28" s="6" t="inlineStr">
        <is>
          <t>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is>
      </c>
    </row>
    <row r="29">
      <c r="A29" s="6" t="inlineStr">
        <is>
          <t>ND</t>
        </is>
      </c>
      <c r="B29" s="6" t="inlineStr">
        <is>
          <t>North Dakota</t>
        </is>
      </c>
      <c r="C29" s="6" t="n">
        <v>30</v>
      </c>
      <c r="D29" s="6" t="inlineStr">
        <is>
          <t>Yes</t>
        </is>
      </c>
      <c r="E29" s="6" t="n">
        <v>30</v>
      </c>
      <c r="F29" s="6" t="inlineStr">
        <is>
          <t>after approval</t>
        </is>
      </c>
      <c r="G29" s="6" t="inlineStr">
        <is>
          <t>within 90 days from completion of the services</t>
        </is>
      </c>
      <c r="H29" s="6" t="inlineStr">
        <is>
          <t>30 days from receipt of disapproval to resubmit a corrected claim</t>
        </is>
      </c>
      <c r="I29" s="6" t="inlineStr">
        <is>
          <t>written disapproval within 30 days with a contemporaneous detailed written explanation of the reason</t>
        </is>
      </c>
      <c r="J29" s="6" t="inlineStr">
        <is>
          <t>A dealer shall submit a claim for reimbursement for services within ninety days from the completion of the services ... The dealer has thirty days from the receipt of the disapproval to resubmit a corrected claim.</t>
        </is>
      </c>
      <c r="K29" s="6" t="inlineStr">
        <is>
          <t>§ 51-07-29(2)</t>
        </is>
      </c>
      <c r="L29" s="6" t="n">
        <v>12</v>
      </c>
      <c r="M29" s="6" t="inlineStr">
        <is>
          <t>Section 'does not apply to fraudulent claims'</t>
        </is>
      </c>
      <c r="N29" s="6" t="inlineStr">
        <is>
          <t>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is>
      </c>
      <c r="O29" s="6" t="inlineStr">
        <is>
          <t>A manufacturer may not conduct a warranty or incentive audit or seek a chargeback on a warranty or incentive payment more than one year after the date of that warranty or incentive payment.</t>
        </is>
      </c>
      <c r="P29" s="6" t="inlineStr">
        <is>
          <t>§ 51-07-02.4(1)-(3)</t>
        </is>
      </c>
      <c r="Q29" s="6" t="inlineStr">
        <is>
          <t>no demand within 12 months of the last labor-rate declaration (applies to dealer, manufacturer or distributor)</t>
        </is>
      </c>
      <c r="R29" s="6" t="inlineStr">
        <is>
          <t>100 ROs or 90 days (fewer of the two samples); ROs &lt;= 180 days old</t>
        </is>
      </c>
      <c r="S29" s="6" t="inlineStr">
        <is>
          <t>total labor sales ÷ total hours that generated those sales</t>
        </is>
      </c>
      <c r="T29" s="6" t="inlineStr">
        <is>
          <t>Discounted / promotional; Other (see text); Routine maintenance; Tires; Prep / reconditioning; Alignments; Internal; Accessories</t>
        </is>
      </c>
      <c r="U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V29" s="6" t="inlineStr">
        <is>
          <t>30 days following the manufacturer's receipt of the submission</t>
        </is>
      </c>
      <c r="W29" s="6" t="inlineStr">
        <is>
          <t>one hundred sequential nonwarranty customer-paid service repair orders that contain warranty-like parts or ninety consecutive days ... dividing the amount of the dealer's total labor sales by the number of total hours that generated those sales</t>
        </is>
      </c>
      <c r="X29" s="6" t="inlineStr">
        <is>
          <t>§ 51-07-29(4)-(6), (9)</t>
        </is>
      </c>
      <c r="Y29" s="6" t="n">
        <v>30</v>
      </c>
      <c r="Z29" s="6" t="inlineStr">
        <is>
          <t>Yes</t>
        </is>
      </c>
      <c r="AA29" s="6" t="inlineStr">
        <is>
          <t>Material accuracy of the calculated rate only (the pre-2025 comparison to dealers in an economically similar area was deleted)</t>
        </is>
      </c>
      <c r="AB29" s="6" t="inlineStr">
        <is>
          <t>One written objection within 30 days, with all calculations, a written explanation and substantiating evidence, plus a proposed adjusted rate based solely on that. The manufacturer must start paying the adjusted rate. It may not add to or change its reasons.</t>
        </is>
      </c>
      <c r="AC29" s="6" t="inlineStr">
        <is>
          <t>court of competent jurisdiction (dealer action); manufacturer bears burden by preponderance</t>
        </is>
      </c>
      <c r="AD29" s="6" t="inlineStr">
        <is>
          <t>A manufacturer or distributor may contest the material accuracy of the rate calculated under this section by providing a written objection to the dealer within thirty days after receiving the dealer's submission</t>
        </is>
      </c>
      <c r="AE29" s="6" t="inlineStr">
        <is>
          <t>§ 51-07-29(7)(a)-(d)</t>
        </is>
      </c>
      <c r="AF29" s="6" t="inlineStr">
        <is>
          <t>Rate-dispute action: a winning dealer gets the rate retroactive to 30 days after receipt, plus all expenses including reasonable attorney fees. Willful violation: three times the retroactive rate amount (§ 51-07-29(7)(d)(2)).</t>
        </is>
      </c>
      <c r="AG29" s="6" t="inlineStr">
        <is>
          <t>None identified in ch. 51-07</t>
        </is>
      </c>
      <c r="AH29" s="6" t="inlineStr">
        <is>
          <t>N.D. Cent. Code § 51-07-29(7)(d)</t>
        </is>
      </c>
      <c r="AI29" s="6" t="inlineStr">
        <is>
          <t>N.D. Cent. Code § 51-07-29; N.D. Cent. Code § 51-07-02.4 (audits/chargebacks)</t>
        </is>
      </c>
      <c r="AJ29" s="6" t="inlineStr">
        <is>
          <t>https://www.ndlegis.gov/cencode/t51c07.pdf ; session law: https://ndlegis.gov/assembly/69-2025/session-laws/documents/SALES.pdf (ch. 463)</t>
        </is>
      </c>
      <c r="AK29" s="6" t="inlineStr">
        <is>
          <t>official</t>
        </is>
      </c>
      <c r="AL29" s="6" t="inlineStr">
        <is>
          <t>high</t>
        </is>
      </c>
      <c r="AM29" s="6" t="inlineStr">
        <is>
          <t>2026-09-25</t>
        </is>
      </c>
      <c r="AN29" s="6" t="inlineStr">
        <is>
          <t>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is>
      </c>
    </row>
    <row r="30">
      <c r="A30" s="6" t="inlineStr">
        <is>
          <t>NE</t>
        </is>
      </c>
      <c r="B30" s="6" t="inlineStr">
        <is>
          <t>Nebraska</t>
        </is>
      </c>
      <c r="C30" s="6" t="n">
        <v>30</v>
      </c>
      <c r="D30" s="6" t="inlineStr">
        <is>
          <t>Yes</t>
        </is>
      </c>
      <c r="E30" s="6" t="n">
        <v>30</v>
      </c>
      <c r="F30" s="6" t="inlineStr">
        <is>
          <t>after approval</t>
        </is>
      </c>
      <c r="G30" s="6" t="inlineStr">
        <is>
          <t>within 6 months after completing the work</t>
        </is>
      </c>
      <c r="H30" s="6" t="inlineStr">
        <is>
          <t>After a clerical-error rejection the dealer 'may resubmit a corrected claim in a timely manner'. No denial based solely on an incidental processing failure such as a clerical error.</t>
        </is>
      </c>
      <c r="I30" s="6" t="inlineStr">
        <is>
          <t>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is>
      </c>
      <c r="J30" s="6" t="inlineStr">
        <is>
          <t>All claims made by a new motor vehicle dealer pursuant to this section for labor and parts shall be made within six months after completing the work and shall be paid within thirty days after their approval.</t>
        </is>
      </c>
      <c r="K30" s="6" t="inlineStr">
        <is>
          <t>Neb. Rev. Stat. § 60-1438(4)-(5)</t>
        </is>
      </c>
      <c r="L30" s="6" t="n">
        <v>12</v>
      </c>
      <c r="M30" s="6" t="inlineStr">
        <is>
          <t>4 years after payment if the manufacturer has reasonable cause (a bona fide, evidence-based belief) that a claim is intentionally false or fraudulent</t>
        </is>
      </c>
      <c r="N30" s="6" t="inlineStr">
        <is>
          <t>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is>
      </c>
      <c r="O30" s="6" t="inlineStr">
        <is>
          <t>The manufacturer has the right to audit the claims for one year after payment, except that if the manufacturer has reasonable cause to believe that a claim submitted by a dealer is intentionally false or fraudulent</t>
        </is>
      </c>
      <c r="P30" s="6" t="inlineStr">
        <is>
          <t>Neb. Rev. Stat. § 60-1438(5)</t>
        </is>
      </c>
      <c r="Q30" s="6" t="inlineStr"/>
      <c r="R30" s="6" t="inlineStr">
        <is>
          <t>No statutory labor-rate sample</t>
        </is>
      </c>
      <c r="S30" s="6" t="inlineStr">
        <is>
          <t>No formula. The principal factor is 'the prevailing wage rates being paid by dealers in the community'. Floor: never less than the dealer's rates for like service to retail or fleet customers.</t>
        </is>
      </c>
      <c r="T30" s="6" t="inlineStr">
        <is>
          <t>Routine maintenance; Tires; Other (see text)</t>
        </is>
      </c>
      <c r="U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V30" s="6" t="inlineStr"/>
      <c r="W30" s="6" t="inlineStr">
        <is>
          <t>In determining prevailing wage rates, the rate of compensation for labor for that portion of repair orders for all recommended maintenance services shall not be used</t>
        </is>
      </c>
      <c r="X30" s="6" t="inlineStr">
        <is>
          <t>Neb. Rev. Stat. § 60-1438(2)(a); RO test (2)(c); negotiated rates (2)(d)</t>
        </is>
      </c>
      <c r="Y30" s="6" t="n">
        <v>30</v>
      </c>
      <c r="Z30" s="6" t="inlineStr">
        <is>
          <t>Silent</t>
        </is>
      </c>
      <c r="AA30" s="6" t="inlineStr">
        <is>
          <t>The manufacturer may adjust subsequent rates if the dealer's nonwarranty customer rates are 'less than the rates currently being paid' for warranty work (test: whether declared rates are 'materially different')</t>
        </is>
      </c>
      <c r="AB30" s="6" t="inlineStr">
        <is>
          <t>Request up to 100 additional ROs (90-day period chosen by the manufacturer within the last 12 months; ROs chosen by the dealer; at most once per 12 months), then rebut within 30 days of receiving them. A mutually agreed rate is permitted.</t>
        </is>
      </c>
      <c r="AC30" s="6" t="inlineStr">
        <is>
          <t>Complaint to the Nebraska Motor Vehicle Industry Licensing Board (§ 60-1411.02). The express board-complaint and burden rule in (2)(b)(i) covers parts-markup denials. Court action under § 60-1440.</t>
        </is>
      </c>
      <c r="AD30" s="6" t="inlineStr">
        <is>
          <t>The manufacturer or distributor shall have thirty days from receiving all requested additional repair orders to rebut the new vehicle dealer's labor rate, average percentage markup rate, or both.</t>
        </is>
      </c>
      <c r="AE30" s="6" t="inlineStr">
        <is>
          <t>Neb. Rev. Stat. § 60-1438(2)(c)(i)-(iv), (2)(d)</t>
        </is>
      </c>
      <c r="AF30" s="6" t="inlineStr">
        <is>
          <t>§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is>
      </c>
      <c r="AG30" s="6" t="inlineStr">
        <is>
          <t>§ 60-1411.02: the Board may deny, revoke or suspend a license, impose probation, or fine up to $5,000 per violation. § 60-1415: an additional fine up to $5,000 per day for disobeying a Board order or repeating a violation within 48 months.</t>
        </is>
      </c>
      <c r="AH30" s="6" t="inlineStr">
        <is>
          <t>Neb. Rev. Stat. §§ 60-1411.02, 60-1415, 60-1440</t>
        </is>
      </c>
      <c r="AI30" s="6" t="inlineStr">
        <is>
          <t>Neb. Rev. Stat. § 60-1438(1)-(2) (compensation; labor-rate factors; RO test); Neb. Rev. Stat. § 60-1438(4)-(5) (claims, audits, chargebacks); Neb. Rev. Stat. §§ 60-1440 (damages/equitable relief), 60-1411.02 and 60-1415 (license discipline, fines)</t>
        </is>
      </c>
      <c r="AJ30" s="6" t="inlineStr">
        <is>
          <t>https://nebraskalegislature.gov/laws/statutes.php?statute=60-1438</t>
        </is>
      </c>
      <c r="AK30" s="6" t="inlineStr">
        <is>
          <t>official</t>
        </is>
      </c>
      <c r="AL30" s="6" t="inlineStr">
        <is>
          <t>high</t>
        </is>
      </c>
      <c r="AM30" s="6" t="inlineStr">
        <is>
          <t>2026-10-06</t>
        </is>
      </c>
      <c r="AN30" s="6" t="inlineStr">
        <is>
          <t>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is>
      </c>
    </row>
    <row r="31">
      <c r="A31" s="6" t="inlineStr">
        <is>
          <t>NH</t>
        </is>
      </c>
      <c r="B31" s="6" t="inlineStr">
        <is>
          <t>New Hampshire</t>
        </is>
      </c>
      <c r="C31" s="6" t="n">
        <v>30</v>
      </c>
      <c r="D31" s="6" t="inlineStr">
        <is>
          <t>Yes</t>
        </is>
      </c>
      <c r="E31" s="6" t="n">
        <v>30</v>
      </c>
      <c r="F31" s="6" t="inlineStr">
        <is>
          <t>after approval</t>
        </is>
      </c>
      <c r="G31" s="6" t="inlineStr"/>
      <c r="H31" s="6" t="inlineStr"/>
      <c r="I31" s="6" t="inlineStr">
        <is>
          <t>The rejection notice must carry 'a specific statement of the grounds'. No denial based solely on an incidental processing failure, clerical error or administrative technicality.</t>
        </is>
      </c>
      <c r="J31" s="6" t="inlineStr">
        <is>
          <t>All such claims shall be either approved and paid or disapproved within 30 days after their receipt, and any claim not specifically disapproved in writing within such period shall be deemed approved.</t>
        </is>
      </c>
      <c r="K31" s="6" t="inlineStr">
        <is>
          <t>N.H. Rev. Stat. Ann. § 357-C:5, II(d)(1); II(b)(1)</t>
        </is>
      </c>
      <c r="L31" s="6" t="n">
        <v>9</v>
      </c>
      <c r="M31" s="6" t="inlineStr">
        <is>
          <t>Fraudulent warranty claims may be charged back within the franchise agreement's limitation period, capped at the RSA 508:4, I period (3 years) from the date the claim was paid</t>
        </is>
      </c>
      <c r="N31" s="6" t="inlineStr">
        <is>
          <t>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is>
      </c>
      <c r="O31" s="6" t="inlineStr">
        <is>
          <t>shall retain the right to audit warranty claims for a period of 9 months after the date on which the claim is paid and charge back any amounts paid on claims that are false or unsubstantiated</t>
        </is>
      </c>
      <c r="P31" s="6" t="inlineStr">
        <is>
          <t>N.H. Rev. Stat. Ann. § 357-C:5, II(d)(2)-(7); II(b)(1)</t>
        </is>
      </c>
      <c r="Q31" s="6" t="inlineStr">
        <is>
          <t>once per calendar year (average labor rate declaration)</t>
        </is>
      </c>
      <c r="R31" s="6" t="inlineStr">
        <is>
          <t>No statutory labor-rate sample</t>
        </is>
      </c>
      <c r="S31" s="6" t="inlineStr">
        <is>
          <t>No formula. Floor: warranty pay not 'less than that charged by the dealer to the retail customers of the dealer for non-warranty work of like kind'.</t>
        </is>
      </c>
      <c r="T31" s="6" t="inlineStr"/>
      <c r="U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V31" s="6" t="inlineStr"/>
      <c r="W31" s="6" t="inlineStr">
        <is>
          <t>A dealer shall not declare an average percentage markup or average labor rate more than once in a calendar year.</t>
        </is>
      </c>
      <c r="X31" s="6" t="inlineStr">
        <is>
          <t>N.H. Rev. Stat. Ann. § 357-C:5, II(b)(1)(B)(iv); parity II(b)(1)</t>
        </is>
      </c>
      <c r="Y31" s="6" t="inlineStr"/>
      <c r="Z31" s="6" t="inlineStr">
        <is>
          <t>Silent</t>
        </is>
      </c>
      <c r="AA31" s="6" t="inlineStr"/>
      <c r="AB31" s="6" t="inlineStr"/>
      <c r="AC31" s="6" t="inlineStr">
        <is>
          <t>New Hampshire Motor Vehicle Industry Board written protest (general jurisdiction over violations of ch. 357-C)</t>
        </is>
      </c>
      <c r="AD31" s="6" t="inlineStr">
        <is>
          <t>Any person may file a written protest with the board complaining of conduct governed by and violative of this chapter.</t>
        </is>
      </c>
      <c r="AE31" s="6" t="inlineStr">
        <is>
          <t>N.H. Rev. Stat. Ann. § 357-C:12, II(a)</t>
        </is>
      </c>
      <c r="AF31" s="6" t="inlineStr">
        <is>
          <t>§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is>
      </c>
      <c r="AG31" s="6" t="inlineStr">
        <is>
          <t>§ 357-C:12, VI: civil penalty up to $10,000 for reckless or knowing noncompliance with a Board order, each day a separate violation. § 357-C:15: any violation of the chapter is a misdemeanor.</t>
        </is>
      </c>
      <c r="AH31" s="6" t="inlineStr">
        <is>
          <t>N.H. Rev. Stat. Ann. §§ 357-C:12, 357-C:15</t>
        </is>
      </c>
      <c r="AI31" s="6" t="inlineStr">
        <is>
          <t>N.H. Rev. Stat. Ann. § 357-C:5, II(a)-(b) (compensation; parity; rate declarations); N.H. Rev. Stat. Ann. § 357-C:5, II(b)(1), II(d) (claims; audits; chargebacks); N.H. Rev. Stat. Ann. §§ 357-C:12 (Board; civil action), 357-C:15 (misdemeanor)</t>
        </is>
      </c>
      <c r="AJ31" s="6" t="inlineStr">
        <is>
          <t>https://gc.nh.gov/rsa/html/XXXI/357-C/357-C-5.htm</t>
        </is>
      </c>
      <c r="AK31" s="6" t="inlineStr">
        <is>
          <t>official</t>
        </is>
      </c>
      <c r="AL31" s="6" t="inlineStr">
        <is>
          <t>high</t>
        </is>
      </c>
      <c r="AM31" s="6" t="inlineStr">
        <is>
          <t>2026-09-25</t>
        </is>
      </c>
      <c r="AN31" s="6" t="inlineStr">
        <is>
          <t>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is>
      </c>
    </row>
    <row r="32">
      <c r="A32" s="6" t="inlineStr">
        <is>
          <t>NJ</t>
        </is>
      </c>
      <c r="B32" s="6" t="inlineStr">
        <is>
          <t>New Jersey</t>
        </is>
      </c>
      <c r="C32" s="6" t="n">
        <v>30</v>
      </c>
      <c r="D32" s="6" t="inlineStr">
        <is>
          <t>Silent</t>
        </is>
      </c>
      <c r="E32" s="6" t="n">
        <v>30</v>
      </c>
      <c r="F32" s="6" t="inlineStr">
        <is>
          <t>after approval</t>
        </is>
      </c>
      <c r="G32" s="6" t="inlineStr"/>
      <c r="H32" s="6" t="inlineStr"/>
      <c r="I32" s="6" t="inlineStr">
        <is>
          <t>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is>
      </c>
      <c r="J32" s="6" t="inlineStr">
        <is>
          <t>All claims for reimbursement shall be approved or disapproved within 30 days after receipt of the claim by the motor vehicle franchisor.</t>
        </is>
      </c>
      <c r="K32" s="6" t="inlineStr">
        <is>
          <t>N.J. Stat. Ann. § 56:10-15(f), (p)</t>
        </is>
      </c>
      <c r="L32" s="6" t="n">
        <v>12</v>
      </c>
      <c r="M32" s="6" t="inlineStr">
        <is>
          <t>No time limit if the franchisor has reasonable grounds to believe the claim was fraudulent</t>
        </is>
      </c>
      <c r="N32" s="6" t="inlineStr">
        <is>
          <t>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is>
      </c>
      <c r="O32" s="6" t="inlineStr">
        <is>
          <t>A motor vehicle franchisor shall not audit a claim after the expiration of 12 months following the payment of the claim unless the motor vehicle franchisor has reasonable grounds to believe that the claim was fraudulent</t>
        </is>
      </c>
      <c r="P32" s="6" t="inlineStr">
        <is>
          <t>N.J. Stat. Ann. § 56:10-15(f), (p)</t>
        </is>
      </c>
      <c r="Q32" s="6" t="inlineStr">
        <is>
          <t>no more than twice per calendar year. The cap is written jointly for requests to change the parts markup, labor time allowance, or retail labor rate.</t>
        </is>
      </c>
      <c r="R32" s="6" t="inlineStr">
        <is>
          <t>100 ROs or 90 days (fewer of the two samples); ROs &lt;= 180 days old</t>
        </is>
      </c>
      <c r="S32" s="6" t="inlineStr">
        <is>
          <t>total labor charges in the sample × 1.0 ÷ total labor hours in the sample</t>
        </is>
      </c>
      <c r="T32" s="6" t="inlineStr">
        <is>
          <t>Discounted / promotional; Other (see text); Routine maintenance; Prep / reconditioning; Accessories; Collision / body / glass; Insurance-paid; State inspections; Goodwill; Government; Tires; Alignments; Internal</t>
        </is>
      </c>
      <c r="U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V32" s="6" t="inlineStr">
        <is>
          <t>30 days after the declaration, subject to franchisor audit of the submitted sample only</t>
        </is>
      </c>
      <c r="W32" s="6" t="inlineStr">
        <is>
          <t>The average retail labor rate shall be calculated by multiplying the total labor charges in the sample by 1.0 and dividing that amount by the total number of labor hours in the sample.</t>
        </is>
      </c>
      <c r="X32" s="6" t="inlineStr">
        <is>
          <t>N.J. Stat. Ann. § 56:10-15(l); exclusions (j)(3); frequency (n)</t>
        </is>
      </c>
      <c r="Y32" s="6" t="inlineStr"/>
      <c r="Z32" s="6" t="inlineStr">
        <is>
          <t>Yes</t>
        </is>
      </c>
      <c r="AA32" s="6" t="inlineStr">
        <is>
          <t>Audit-only. Any proposed adjustment 'shall be based solely on an audit of that sample'. No market-comparison or reasonableness test.</t>
        </is>
      </c>
      <c r="AB32" s="6" t="inlineStr">
        <is>
          <t>Audit the dealer-submitted sample and propose an adjustment based only on that sample. No other data or methodology may be substituted.</t>
        </is>
      </c>
      <c r="AC32" s="6" t="inlineStr">
        <is>
          <t>Superior Court action under the Franchise Practices Act (§ 56:10-10)</t>
        </is>
      </c>
      <c r="AD32" s="6" t="inlineStr">
        <is>
          <t>The average retail labor rate so declared shall go into effect 30 days following the declaration subject to audit by the motor vehicle franchisor only of the sample submitted by the motor vehicle franchisee.</t>
        </is>
      </c>
      <c r="AE32" s="6" t="inlineStr">
        <is>
          <t>N.J. Stat. Ann. § 56:10-15(a), (l)</t>
        </is>
      </c>
      <c r="AF32" s="6" t="inlineStr">
        <is>
          <t>§ 56:10-10: Superior Court action for damages and, where appropriate, injunctive relief. A successful franchisee recovers costs, including reasonable attorney's fees. § 56:10-34 (P.L.2025, c.140): dealer associations have standing to sue on members' behalf.</t>
        </is>
      </c>
      <c r="AG32" s="6" t="inlineStr"/>
      <c r="AH32" s="6" t="inlineStr">
        <is>
          <t>N.J. Stat. Ann. §§ 56:10-10, 56:10-34</t>
        </is>
      </c>
      <c r="AI32" s="6" t="inlineStr">
        <is>
          <t>N.J. Stat. Ann. § 56:10-15(a), (d), (j)(3), (l)-(n) (as amended by P.L.2025, c.140, § 7); N.J. Stat. Ann. § 56:10-15(f), (p) (claims; audits; chargebacks); N.J. Stat. Ann. §§ 56:10-10 (franchisee action), 56:10-34 (association standing)</t>
        </is>
      </c>
      <c r="AJ32" s="6" t="inlineStr">
        <is>
          <t>https://pub.njleg.gov/Bills/2024/PL25/140_.PDF</t>
        </is>
      </c>
      <c r="AK32" s="6" t="inlineStr">
        <is>
          <t>enrolled_act</t>
        </is>
      </c>
      <c r="AL32" s="6" t="inlineStr">
        <is>
          <t>high</t>
        </is>
      </c>
      <c r="AM32" s="6" t="inlineStr">
        <is>
          <t>2026-10-06</t>
        </is>
      </c>
      <c r="AN32" s="6" t="inlineStr">
        <is>
          <t>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When the franchisor supplies EV propulsion batteries or entire engine or transmission assemblies, the (e)(1) supplied-part markup rule does not apply. The dealer instead gets 30% of what it would have paid the franchisor for the part ((e)(2)). Franchisor cost recovery is barred ((o)). The FPA has no administrative penalty. Source is the enrolled chapter law, not official codified text.</t>
        </is>
      </c>
    </row>
    <row r="33">
      <c r="A33" s="6" t="inlineStr">
        <is>
          <t>NM</t>
        </is>
      </c>
      <c r="B33" s="6" t="inlineStr">
        <is>
          <t>New Mexico</t>
        </is>
      </c>
      <c r="C33" s="6" t="n">
        <v>30</v>
      </c>
      <c r="D33" s="6" t="inlineStr">
        <is>
          <t>Yes</t>
        </is>
      </c>
      <c r="E33" s="6" t="n">
        <v>30</v>
      </c>
      <c r="F33" s="6" t="inlineStr">
        <is>
          <t>after submission</t>
        </is>
      </c>
      <c r="G33" s="6" t="inlineStr">
        <is>
          <t>within one year of the date the work was performed</t>
        </is>
      </c>
      <c r="H33" s="6" t="inlineStr">
        <is>
          <t>No chargeback of a paid claim for an incidental failure, clerical error or technicality if the dealer corrects it within 90 days of learning of it and documents the need for the repair (§ 57-16-5.1)</t>
        </is>
      </c>
      <c r="I33" s="6" t="inlineStr">
        <is>
          <t>written notice of the disapproved claim setting forth the reasons</t>
        </is>
      </c>
      <c r="J33" s="6" t="inlineStr">
        <is>
          <t>Any claim not specifically disapproved in writing within thirty days following receipt is approved, and the manufacturer is required to pay that claim within thirty days of receipt of the claim.</t>
        </is>
      </c>
      <c r="K33" s="6" t="inlineStr">
        <is>
          <t>§ 57-16-7(H); filing deadline and 'paid ... within thirty days following receipt, provided that the claim has been approved' in § 57-16-7(G)</t>
        </is>
      </c>
      <c r="L33" s="6" t="n">
        <v>6</v>
      </c>
      <c r="M33" s="6" t="inlineStr">
        <is>
          <t>Fraudulent claims may be audited/charged back during any period for which an action for fraud may be commenced under state law</t>
        </is>
      </c>
      <c r="N33" s="6" t="inlineStr">
        <is>
          <t>Only unsubstantiated, incorrect or false claims; 6 months after payment. No chargeback for incidental/clerical failures corrected within 90 days (§ 57-16-5.1). Sales/service incentive audits also limited to 6 months (§ 57-16-7.1).</t>
        </is>
      </c>
      <c r="O33" s="6" t="inlineStr">
        <is>
          <t>The manufacturer has the right to audit claims and to charge the dealer for any unsubstantiated, incorrect or false claims for a period of six months following payment.</t>
        </is>
      </c>
      <c r="P33" s="6" t="inlineStr">
        <is>
          <t>§ 57-16-7(G)</t>
        </is>
      </c>
      <c r="Q33" s="6" t="inlineStr">
        <is>
          <t>increase granted no more than twice in one calendar year</t>
        </is>
      </c>
      <c r="R33" s="6" t="inlineStr">
        <is>
          <t>100 ROs or 90 days (fewer of the two samples); ROs &lt;= 180 days old</t>
        </is>
      </c>
      <c r="S33" s="6" t="inlineStr"/>
      <c r="T33" s="6" t="inlineStr"/>
      <c r="U33" s="6" t="inlineStr">
        <is>
          <t>None listed in § 57-16-7.</t>
        </is>
      </c>
      <c r="V33" s="6" t="inlineStr">
        <is>
          <t>Parts markup change takes effect 30 days following submission (C); statute states no effective date for the labor rate</t>
        </is>
      </c>
      <c r="W33" s="6" t="inlineStr">
        <is>
          <t>A dealer shall establish and declare the dealer's average customer pay labor rate by submitting to the manufacturer the lesser of one hundred sequential customer-paid service repair orders or ninety days of customer-paid service repair orders</t>
        </is>
      </c>
      <c r="X33" s="6" t="inlineStr">
        <is>
          <t>§ 57-16-7(D); see (C) (180-day window, 30-day effect for markup) and (F) (twice per calendar year)</t>
        </is>
      </c>
      <c r="Y33" s="6" t="inlineStr"/>
      <c r="Z33" s="6" t="inlineStr">
        <is>
          <t>Silent</t>
        </is>
      </c>
      <c r="AA33" s="6" t="inlineStr">
        <is>
          <t>Rate was incorrectly calculated, or unreasonably exceeds the rates of all other franchised dealers in the same relevant market area offering the same or a competitive line</t>
        </is>
      </c>
      <c r="AB33" s="6" t="inlineStr">
        <is>
          <t>Manufacturer need not honor the proposed increase if it demonstrates the standard; the dealer may then resubmit a new proposed rate. No response deadline or procedure specified.</t>
        </is>
      </c>
      <c r="AC33" s="6" t="inlineStr"/>
      <c r="AD33" s="6" t="inlineStr">
        <is>
          <t>If a manufacturer can demonstrate that the rates under Subsection C or D of this section were incorrectly calculated by a dealer or unreasonably exceed those of all other franchised motor vehicle dealers in the same relevant market area</t>
        </is>
      </c>
      <c r="AE33" s="6" t="inlineStr">
        <is>
          <t>§ 57-16-7(E)</t>
        </is>
      </c>
      <c r="AF33" s="6" t="inlineStr">
        <is>
          <t>Injunctive relief (§§ 57-16-11, -12); actual damages, costs and reasonable attorney's fee, punitive damages up to 3x actual if malicious (§ 57-16-13); 4-year limitation (§ 57-16-14)</t>
        </is>
      </c>
      <c r="AG33" s="6" t="inlineStr">
        <is>
          <t>None in Art. 16 against manufacturers (§ 57-16-16 misdemeanor applies only to dealers violating § 57-16-4)</t>
        </is>
      </c>
      <c r="AH33" s="6" t="inlineStr">
        <is>
          <t>N.M. Stat. Ann. §§ 57-16-11 to 57-16-14, 57-16-16</t>
        </is>
      </c>
      <c r="AI33" s="6" t="inlineStr">
        <is>
          <t>N.M. Stat. Ann. § 57-16-7 (NMSA 1978); N.M. Stat. Ann. § 57-16-5.1 (clerical-error chargebacks); N.M. Stat. Ann. §§ 57-16-11, 57-16-13 (injunction; damages)</t>
        </is>
      </c>
      <c r="AJ33" s="6" t="inlineStr">
        <is>
          <t>https://nmonesource.com/nmos/nmsa/en/4423/1/document.do (official NMOneSource NMSA 1978 Chapter 57 PDF; site 'last modified 09/24/2026'). Section page: https://nmonesource.com/nmos/nmsa/en/item/4423/index.do</t>
        </is>
      </c>
      <c r="AK33" s="6" t="inlineStr">
        <is>
          <t>official</t>
        </is>
      </c>
      <c r="AL33" s="6" t="inlineStr">
        <is>
          <t>high</t>
        </is>
      </c>
      <c r="AM33" s="6" t="inlineStr">
        <is>
          <t>2026-09-25</t>
        </is>
      </c>
      <c r="AN33" s="6" t="inlineStr">
        <is>
          <t>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is>
      </c>
    </row>
    <row r="34">
      <c r="A34" s="6" t="inlineStr">
        <is>
          <t>NV</t>
        </is>
      </c>
      <c r="B34" s="6" t="inlineStr">
        <is>
          <t>Nevada</t>
        </is>
      </c>
      <c r="C34" s="6" t="n">
        <v>30</v>
      </c>
      <c r="D34" s="6" t="inlineStr">
        <is>
          <t>Silent</t>
        </is>
      </c>
      <c r="E34" s="6" t="n">
        <v>30</v>
      </c>
      <c r="F34" s="6" t="inlineStr">
        <is>
          <t>after approval</t>
        </is>
      </c>
      <c r="G34" s="6" t="inlineStr"/>
      <c r="H34" s="6" t="inlineStr">
        <is>
          <t>The manufacturer must accept an amended claim submitted within 60 days after notice of a disapproval based on a processing requirement, clerical error or administrative technicality</t>
        </is>
      </c>
      <c r="I34" s="6" t="inlineStr">
        <is>
          <t>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is>
      </c>
      <c r="J34" s="6" t="inlineStr">
        <is>
          <t>work to satisfy warranties and recall service or repairs within 30 days after approval, or fail to approve or disapprove such claims within 30 days after receipt</t>
        </is>
      </c>
      <c r="K34" s="6" t="inlineStr">
        <is>
          <t>Nev. Rev. Stat. § 482.36385(4)(a)-(c); (7)</t>
        </is>
      </c>
      <c r="L34" s="6" t="n">
        <v>9</v>
      </c>
      <c r="M34" s="6" t="inlineStr"/>
      <c r="N34" s="6" t="inlineStr">
        <is>
          <t>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is>
      </c>
      <c r="O34" s="6" t="inlineStr">
        <is>
          <t>Perform an audit to confirm a claim for compensation pursuant to NRS 482.363574, warranty repair, sales incentive or rebate more than 9 months after the date on which the claim was made.</t>
        </is>
      </c>
      <c r="P34" s="6" t="inlineStr">
        <is>
          <t>Nev. Rev. Stat. § 482.36385(7)-(8)</t>
        </is>
      </c>
      <c r="Q34" s="6" t="inlineStr"/>
      <c r="R34" s="6" t="inlineStr">
        <is>
          <t>No statutory labor-rate sample</t>
        </is>
      </c>
      <c r="S34" s="6" t="inlineStr">
        <is>
          <t>No submission procedure or formula. Floor only: warranty and recall parts and labor pay must not be less than the amount charged to retail customers for nonwarranty parts and labor.</t>
        </is>
      </c>
      <c r="T34" s="6" t="inlineStr"/>
      <c r="U34" s="6" t="inlineStr">
        <is>
          <t>None listed. The parity rule does not apply to residential (nonvehicular) components of motor homes and RVs.</t>
        </is>
      </c>
      <c r="V34" s="6" t="inlineStr"/>
      <c r="W34" s="6" t="inlineStr">
        <is>
          <t>The dealers compensation for parts and labor to satisfy a warranty or a recall service or repair must not be less than the amount of money charged to its various retail customers</t>
        </is>
      </c>
      <c r="X34" s="6" t="inlineStr">
        <is>
          <t>Nev. Rev. Stat. § 482.36385(3)</t>
        </is>
      </c>
      <c r="Y34" s="6" t="inlineStr"/>
      <c r="Z34" s="6" t="inlineStr">
        <is>
          <t>Silent</t>
        </is>
      </c>
      <c r="AA34" s="6" t="inlineStr"/>
      <c r="AB34" s="6" t="inlineStr"/>
      <c r="AC34" s="6" t="inlineStr"/>
      <c r="AD34" s="6" t="inlineStr"/>
      <c r="AE34" s="6" t="inlineStr"/>
      <c r="AF34" s="6" t="inlineStr">
        <is>
          <t>§ 482.36423: injunctive relief for any aggrieved person. An injured dealer may recover three times the pecuniary loss plus costs, including a reasonable attorney's fee.</t>
        </is>
      </c>
      <c r="AG34" s="6" t="inlineStr">
        <is>
          <t>§ 482.36425: civil penalty of $50-$1,000 per day and per act for willful violations, sued for by the Attorney General. § 482.352(1)(e): DMV may deny, suspend or revoke a manufacturer or distributor license for willful failure to comply with Nevada motor vehicle laws.</t>
        </is>
      </c>
      <c r="AH34" s="6" t="inlineStr">
        <is>
          <t>Nev. Rev. Stat. §§ 482.36423, 482.36425, 482.352</t>
        </is>
      </c>
      <c r="AI34" s="6" t="inlineStr">
        <is>
          <t>Nev. Rev. Stat. § 482.36385(3) (fair compensation; retail parity); Nev. Rev. Stat. § 482.36385(4), (7)-(8) (claims; audits; appeals); Nev. Rev. Stat. §§ 482.36423 (injunction; treble damages), 482.36425 (civil penalty), 482.352 (license discipline)</t>
        </is>
      </c>
      <c r="AJ34" s="6" t="inlineStr">
        <is>
          <t>https://www.leg.state.nv.us/NRS/NRS-482.html#NRS482Sec36385</t>
        </is>
      </c>
      <c r="AK34" s="6" t="inlineStr">
        <is>
          <t>official</t>
        </is>
      </c>
      <c r="AL34" s="6" t="inlineStr">
        <is>
          <t>high</t>
        </is>
      </c>
      <c r="AM34" s="6" t="inlineStr">
        <is>
          <t>2026-09-25</t>
        </is>
      </c>
      <c r="AN34" s="6" t="inlineStr">
        <is>
          <t>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is>
      </c>
    </row>
    <row r="35">
      <c r="A35" s="6" t="inlineStr">
        <is>
          <t>NY</t>
        </is>
      </c>
      <c r="B35" s="6" t="inlineStr">
        <is>
          <t>New York</t>
        </is>
      </c>
      <c r="C35" s="6" t="n">
        <v>30</v>
      </c>
      <c r="D35" s="6" t="inlineStr">
        <is>
          <t>Yes</t>
        </is>
      </c>
      <c r="E35" s="6" t="n">
        <v>30</v>
      </c>
      <c r="F35" s="6" t="inlineStr">
        <is>
          <t>after approval</t>
        </is>
      </c>
      <c r="G35" s="6" t="inlineStr"/>
      <c r="H35" s="6" t="inlineStr">
        <is>
          <t>No denial for an incidental failure, clerical error or administrative technicality that does not question legitimacy, if the dealer corrects the claim per franchisor guidelines (§ 465(3))</t>
        </is>
      </c>
      <c r="I35" s="6" t="inlineStr">
        <is>
          <t>written notice within the 30 days stating the specific grounds for disapproval</t>
        </is>
      </c>
      <c r="J35" s="6" t="inlineStr">
        <is>
          <t>All warranty or sales incentive claims shall be either approved or disapproved within thirty days after their receipt ... Failure to disapprove a claim within thirty days shall be deemed approval.</t>
        </is>
      </c>
      <c r="K35" s="6" t="inlineStr">
        <is>
          <t>§ 465(2); payment 'within thirty days following their approval' in § 465(1)</t>
        </is>
      </c>
      <c r="L35" s="6" t="n">
        <v>12</v>
      </c>
      <c r="M35" s="6" t="inlineStr">
        <is>
          <t>five years in the case of fraud</t>
        </is>
      </c>
      <c r="N35" s="6" t="inlineStr">
        <is>
          <t>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is>
      </c>
      <c r="O35" s="6" t="inlineStr">
        <is>
          <t>No franchisor shall conduct an audit or charge back any warranty payment ... more than one year, or five years in the case of fraud, after the date the franchisor made such payment to the dealer</t>
        </is>
      </c>
      <c r="P35" s="6" t="inlineStr">
        <is>
          <t>§ 465(3)-(5), (7)</t>
        </is>
      </c>
      <c r="Q35" s="6" t="inlineStr">
        <is>
          <t>dealer may not request a change more than once each calendar year</t>
        </is>
      </c>
      <c r="R35" s="6" t="inlineStr">
        <is>
          <t>100 ROs or 90 days (fewer of the two samples); ROs &lt;= 180 days old</t>
        </is>
      </c>
      <c r="S35" s="6" t="inlineStr"/>
      <c r="T35" s="6" t="inlineStr">
        <is>
          <t>Other (see text); Tires; Routine maintenance; Prep / reconditioning</t>
        </is>
      </c>
      <c r="U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V35" s="6" t="inlineStr">
        <is>
          <t>30 days following the declaration (presumed reasonable)</t>
        </is>
      </c>
      <c r="W35" s="6" t="inlineStr">
        <is>
          <t>may be established by submitting to the franchisor one hundred sequential nonwarranty customer-paid service repair orders or the number of sequential nonwarranty customer-paid service repair orders written within a ninety day period, whichever is less</t>
        </is>
      </c>
      <c r="X35" s="6" t="inlineStr">
        <is>
          <t>§ 465(1)</t>
        </is>
      </c>
      <c r="Y35" s="6" t="inlineStr"/>
      <c r="Z35" s="6" t="inlineStr">
        <is>
          <t>Yes</t>
        </is>
      </c>
      <c r="AA35" s="6" t="inlineStr">
        <is>
          <t>Rate is unreasonable in light of the practices of all other franchised dealers in the vicinity offering the same line make; franchisor bears burden</t>
        </is>
      </c>
      <c r="AB35" s="6" t="inlineStr">
        <is>
          <t>No deadline to rebut the initial declaration. If rejecting for a submission error, the franchisor must identify the reason and the errors with specificity. The dealer may resubmit within 60 days and the franchisor must respond within 60 days.</t>
        </is>
      </c>
      <c r="AC35" s="6" t="inlineStr">
        <is>
          <t>DMV Commissioner adjudicatory proceeding (§ 471-a; hearing procedure in 15 NYCRR § 127.13) or court (§ 469)</t>
        </is>
      </c>
      <c r="AD35" s="6" t="inlineStr">
        <is>
          <t>a franchisor may rebut such presumption by showing that such rate so established is unreasonable in light of the practices of all other franchised motor vehicle dealers in the vicinity offering the same line make</t>
        </is>
      </c>
      <c r="AE35" s="6" t="inlineStr">
        <is>
          <t>§ 465(1)</t>
        </is>
      </c>
      <c r="AF35" s="6" t="inlineStr">
        <is>
          <t>Adjudicatory proceeding before the DMV Commissioner, or court action for injunctive relief and damages; court may award costs and a reasonable attorney's fee to any party (§ 469)</t>
        </is>
      </c>
      <c r="AG35" s="6" t="inlineStr">
        <is>
          <t>Commissioner enforces via § 471-a proceedings; civil penalty up to $1,000 per day for not complying with the Commissioner's decision (§ 471-a)</t>
        </is>
      </c>
      <c r="AH35" s="6" t="inlineStr">
        <is>
          <t>N.Y. Veh. &amp; Traf. Law §§ 469, 469-a, 471-a</t>
        </is>
      </c>
      <c r="AI35" s="6" t="inlineStr">
        <is>
          <t>N.Y. Veh. &amp; Traf. Law § 465; N.Y. Veh. &amp; Traf. Law § 469 (private actions); N.Y. Veh. &amp; Traf. Law § 471-a (adjudicatory proceedings; penalties)</t>
        </is>
      </c>
      <c r="A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c r="AK35" s="6" t="inlineStr">
        <is>
          <t>official</t>
        </is>
      </c>
      <c r="AL35" s="6" t="inlineStr">
        <is>
          <t>high</t>
        </is>
      </c>
      <c r="AM35" s="6" t="inlineStr">
        <is>
          <t>2026-10-06</t>
        </is>
      </c>
      <c r="AN35" s="6" t="inlineStr">
        <is>
          <t>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is>
      </c>
    </row>
    <row r="36">
      <c r="A36" s="6" t="inlineStr">
        <is>
          <t>OH</t>
        </is>
      </c>
      <c r="B36" s="6" t="inlineStr">
        <is>
          <t>Ohio</t>
        </is>
      </c>
      <c r="C36" s="6" t="n">
        <v>45</v>
      </c>
      <c r="D36" s="6" t="inlineStr">
        <is>
          <t>Silent</t>
        </is>
      </c>
      <c r="E36" s="6" t="n">
        <v>30</v>
      </c>
      <c r="F36" s="6" t="inlineStr">
        <is>
          <t>after approval</t>
        </is>
      </c>
      <c r="G36" s="6" t="inlineStr">
        <is>
          <t>Franchisor may not disclaim a claim for failure to submit or resubmit within a period of less than 6 months from the date of service</t>
        </is>
      </c>
      <c r="H36" s="6" t="inlineStr">
        <is>
          <t>At least 6 months from service date to submit or resubmit ((A)(12)). No denial for an incidental failure to follow a claim processing requirement, such as a clerical error ((A)(20)(a)).</t>
        </is>
      </c>
      <c r="I36" s="6" t="inlineStr">
        <is>
          <t>immediate written notice stating the specific grounds for disapproval</t>
        </is>
      </c>
      <c r="J36" s="6" t="inlineStr">
        <is>
          <t>Fail to approve or disapprove any warranty or recall claim submitted by a franchisee within forty-five days after receipt from the franchisee ... Fail to pay a franchisee within thirty days after approval</t>
        </is>
      </c>
      <c r="K36" s="6" t="inlineStr">
        <is>
          <t>§ 4517.59(A)(10)-(12)</t>
        </is>
      </c>
      <c r="L36" s="6" t="n">
        <v>12</v>
      </c>
      <c r="M36" s="6" t="inlineStr">
        <is>
          <t>Limits 'shall not be effective in the case of a fraudulent claim'. Chargeback of previously paid fraudulent claims is allowed.</t>
        </is>
      </c>
      <c r="N36" s="6" t="inlineStr">
        <is>
          <t>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is>
      </c>
      <c r="O36" s="6" t="inlineStr">
        <is>
          <t>Initiate a charge back without an audit or perform an audit to confirm a warranty or recall repair ... more than twelve months after the date of submission by the franchisee</t>
        </is>
      </c>
      <c r="P36" s="6" t="inlineStr">
        <is>
          <t>§ 4517.59(A)(18), (A)(20)</t>
        </is>
      </c>
      <c r="Q36" s="6" t="inlineStr">
        <is>
          <t>not more than once per calendar year</t>
        </is>
      </c>
      <c r="R36" s="6" t="inlineStr">
        <is>
          <t>100 ROs or 90 days (dealer chooses); ROs &lt;= 180 days old</t>
        </is>
      </c>
      <c r="S36" s="6" t="inlineStr">
        <is>
          <t>total labor sales from submitted ROs ÷ total labor hours that generated those sales</t>
        </is>
      </c>
      <c r="T36" s="6" t="inlineStr">
        <is>
          <t>Discounted / promotional; Other (see text); Routine maintenance; Prep / reconditioning; Accessories; Collision / body / glass; Insurance-paid; State inspections; Goodwill; Government; Tires</t>
        </is>
      </c>
      <c r="U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V36" s="6" t="inlineStr">
        <is>
          <t>An uncontested rate takes effect when the 30-day contest window ends. A rate set by dispute resolution or court applies retroactively from 30 days after submission.</t>
        </is>
      </c>
      <c r="W36" s="6" t="inlineStr">
        <is>
          <t>submits to the franchisor either of the following ... One hundred sequential nonwarranty service repair orders for warranty-like repairs that have been paid by a customer and closed by the time of submission ... for a period of ninety consecutive days</t>
        </is>
      </c>
      <c r="X36" s="6" t="inlineStr">
        <is>
          <t>§ 4517.52(B)(1)-(4), (C)(4)</t>
        </is>
      </c>
      <c r="Y36" s="6" t="n">
        <v>30</v>
      </c>
      <c r="Z36" s="6" t="inlineStr">
        <is>
          <t>Yes</t>
        </is>
      </c>
      <c r="AA36" s="6" t="inlineStr">
        <is>
          <t>Rate or markup is 'materially inaccurate'</t>
        </is>
      </c>
      <c r="AB36" s="6" t="inlineStr">
        <is>
          <t>Within 30 days, give notice with a full explanation, substantiating evidence and a proposed adjustment. Grounds cannot be changed afterward. No unilateral rate-setting and no unduly burdensome methods (E).</t>
        </is>
      </c>
      <c r="AC36" s="6" t="inlineStr">
        <is>
          <t>franchisor's internal dispute resolution process, appealable to court</t>
        </is>
      </c>
      <c r="AD36" s="6" t="inlineStr">
        <is>
          <t>within thirty days after receiving notice from the franchisee ... the franchisor believes the rate or markup percentage is materially inaccurate, provide a full explanation ... provide evidence substantiating the franchisor's position, and propose an adjustment of the contested rate</t>
        </is>
      </c>
      <c r="AE36" s="6" t="inlineStr">
        <is>
          <t>§ 4517.52(C)(1)-(3), (E)</t>
        </is>
      </c>
      <c r="AF36" s="6" t="inlineStr">
        <is>
          <t>Double actual damages plus court costs and reasonable attorney fees (§ 4517.65(A)); statutory interest on unreasonably denied/delayed claims (§ 4517.59(A)(20))</t>
        </is>
      </c>
      <c r="AG36" s="6" t="inlineStr">
        <is>
          <t>Violating §§ 4517.50-4517.65 is a fourth-degree misdemeanor (§ 4517.64(C)); failing to obey Motor Vehicle Dealers Board orders is prohibited (§ 4517.64(A)(1))</t>
        </is>
      </c>
      <c r="AH36" s="6" t="inlineStr">
        <is>
          <t>Ohio Rev. Code §§ 4517.59(A)(20), 4517.64, 4517.65</t>
        </is>
      </c>
      <c r="AI36" s="6" t="inlineStr">
        <is>
          <t>Ohio Rev. Code § 4517.52; Ohio Rev. Code § 4517.59(A)(10)-(12), (18), (20) (claims, audits, chargebacks); Ohio Rev. Code §§ 4517.64, 4517.65</t>
        </is>
      </c>
      <c r="AJ36" s="6" t="inlineStr">
        <is>
          <t>https://codes.ohio.gov/ohio-revised-code/section-4517.52 ; https://codes.ohio.gov/ohio-revised-code/section-4517.59</t>
        </is>
      </c>
      <c r="AK36" s="6" t="inlineStr">
        <is>
          <t>official</t>
        </is>
      </c>
      <c r="AL36" s="6" t="inlineStr">
        <is>
          <t>high</t>
        </is>
      </c>
      <c r="AM36" s="6" t="inlineStr">
        <is>
          <t>2026-09-25</t>
        </is>
      </c>
      <c r="AN36" s="6" t="inlineStr">
        <is>
          <t>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is>
      </c>
    </row>
    <row r="37">
      <c r="A37" s="6" t="inlineStr">
        <is>
          <t>OK</t>
        </is>
      </c>
      <c r="B37" s="6" t="inlineStr">
        <is>
          <t>Oklahoma</t>
        </is>
      </c>
      <c r="C37" s="6" t="n">
        <v>30</v>
      </c>
      <c r="D37" s="6" t="inlineStr">
        <is>
          <t>Silent</t>
        </is>
      </c>
      <c r="E37" s="6" t="n">
        <v>30</v>
      </c>
      <c r="F37" s="6" t="inlineStr">
        <is>
          <t>after approval</t>
        </is>
      </c>
      <c r="G37" s="6" t="inlineStr"/>
      <c r="H37" s="6" t="inlineStr"/>
      <c r="I37" s="6" t="inlineStr">
        <is>
          <t>dealer notified in writing of the grounds for disapproval</t>
        </is>
      </c>
      <c r="J37" s="6" t="inlineStr">
        <is>
          <t>All claims made by dealers for compensation for delivery, preparation, warranty, or recall repair work shall be paid within thirty (30) days after approval and shall be approved or disapproved within thirty (30) days after receipt.</t>
        </is>
      </c>
      <c r="K37" s="6" t="inlineStr">
        <is>
          <t>§ 565(A)(9)(b)</t>
        </is>
      </c>
      <c r="L37" s="6" t="n">
        <v>12</v>
      </c>
      <c r="M37" s="6" t="inlineStr">
        <is>
          <t>except in cases of suspected fraud</t>
        </is>
      </c>
      <c r="N37" s="6" t="inlineStr">
        <is>
          <t>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is>
      </c>
      <c r="O37" s="6" t="inlineStr">
        <is>
          <t>Except in cases of suspected fraud, audits of warranty payments shall only be for the one-year period immediately following the date of the payment.</t>
        </is>
      </c>
      <c r="P37" s="6" t="inlineStr">
        <is>
          <t>§ 565(A)(9)(b)</t>
        </is>
      </c>
      <c r="Q37" s="6" t="inlineStr">
        <is>
          <t>dealer: once in a 12-month period; manufacturer may require validation ROs not more often than once every 12 months</t>
        </is>
      </c>
      <c r="R37" s="6" t="inlineStr">
        <is>
          <t>100 ROs or 90 days (fewer of the two samples); ROs &lt;= 180 days old</t>
        </is>
      </c>
      <c r="S37" s="6" t="inlineStr">
        <is>
          <t>total labor sales from qualified ROs ÷ total labor hours charged for those sales</t>
        </is>
      </c>
      <c r="T37" s="6" t="inlineStr">
        <is>
          <t>Routine maintenance; Discounted / promotional; Other (see text); Goodwill; Tires; Alignments; Internal; Prep / reconditioning</t>
        </is>
      </c>
      <c r="U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V37" s="6" t="inlineStr">
        <is>
          <t>30 days following approval by the manufacturer or distributor</t>
        </is>
      </c>
      <c r="W37" s="6" t="inlineStr">
        <is>
          <t>one hundred sequential nonwarranty consumer-paid service repair orders which contain warranty-like repairs, or ninety (90) consecutive days ... may not submit a request to establish its retail rates more than once in a twelve-month period</t>
        </is>
      </c>
      <c r="X37" s="6" t="inlineStr">
        <is>
          <t>§ 565(A)(9)(b)</t>
        </is>
      </c>
      <c r="Y37" s="6" t="n">
        <v>45</v>
      </c>
      <c r="Z37" s="6" t="inlineStr">
        <is>
          <t>Silent</t>
        </is>
      </c>
      <c r="AA37" s="6" t="inlineStr">
        <is>
          <t>Rate 'is not accurate or is incomplete'; in a protest the manufacturer must prove the rate was inaccurate or not complete</t>
        </is>
      </c>
      <c r="AB37" s="6" t="inlineStr">
        <is>
          <t>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is>
      </c>
      <c r="AC37" s="6" t="inlineStr">
        <is>
          <t>Oklahoma New Motor Vehicle Commission protest (within 30 days of the proposal); manufacturer bears burden</t>
        </is>
      </c>
      <c r="AD37" s="6" t="inlineStr">
        <is>
          <t>not later than forty-five (45) days after submission, rebut that declared retail parts and labor rate in writing by reasonably substantiating that the rate is not accurate or is incomplete</t>
        </is>
      </c>
      <c r="AE37" s="6" t="inlineStr">
        <is>
          <t>§ 565(A)(9)(b)</t>
        </is>
      </c>
      <c r="AF37" s="6" t="inlineStr">
        <is>
          <t>Dealer damages action (may be brought in the dealer's county) plus injunctive relief, including TROs, for any violation of §§ 565 through 566 (47 O.S. § 572). The Commission may also sue to enjoin violations (§ 567).</t>
        </is>
      </c>
      <c r="AG37" s="6" t="inlineStr">
        <is>
          <t>Commission may deny, revoke or suspend a license, or fine up to $10,000 per occurrence, for violations of §§ 561-567 et al., including ¶ 9(b) (§ 565(A))</t>
        </is>
      </c>
      <c r="AH37" s="6" t="inlineStr">
        <is>
          <t>Okla. Stat. tit. 47, §§ 565(A), 567, 572</t>
        </is>
      </c>
      <c r="AI37" s="6" t="inlineStr">
        <is>
          <t>Okla. Stat. tit. 47, § 565(A)(9)(b); Okla. Stat. tit. 47, § 565(A) (license denial/revocation/suspension; fines)</t>
        </is>
      </c>
      <c r="AJ37" s="6" t="inlineStr">
        <is>
          <t>Codified: https://law.justia.com/codes/oklahoma/title-47/section-47-565v1/ and .../section-47-565v2/ (2025 Okla. Stat.); enrolled HB2158/HB2160 on oklegislature.gov. OSCN not accessible.</t>
        </is>
      </c>
      <c r="AK37" s="6" t="inlineStr">
        <is>
          <t>enrolled_act</t>
        </is>
      </c>
      <c r="AL37" s="6" t="inlineStr">
        <is>
          <t>high</t>
        </is>
      </c>
      <c r="AM37" s="6" t="inlineStr">
        <is>
          <t>2026-10-06</t>
        </is>
      </c>
      <c r="AN37" s="6" t="inlineStr">
        <is>
          <t>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is>
      </c>
    </row>
    <row r="38">
      <c r="A38" s="6" t="inlineStr">
        <is>
          <t>OR</t>
        </is>
      </c>
      <c r="B38" s="6" t="inlineStr">
        <is>
          <t>Oregon</t>
        </is>
      </c>
      <c r="C38" s="6" t="n">
        <v>30</v>
      </c>
      <c r="D38" s="6" t="inlineStr">
        <is>
          <t>Yes</t>
        </is>
      </c>
      <c r="E38" s="6" t="n">
        <v>30</v>
      </c>
      <c r="F38" s="6" t="inlineStr">
        <is>
          <t>after approval</t>
        </is>
      </c>
      <c r="G38" s="6" t="inlineStr"/>
      <c r="H38" s="6" t="inlineStr">
        <is>
          <t>Franchises entered or renewed on or after 1/1/2026: correct and resubmit within 30 days of disapproval ((4)(c), new). All franchises: denial or chargeback for a clerical or administrative error is barred if the claim is resubmitted within 45 days ((6)(b); (5)(b) in pre-2026 text).</t>
        </is>
      </c>
      <c r="I38" s="6" t="inlineStr">
        <is>
          <t>written notice of the grounds for disapproving a claim</t>
        </is>
      </c>
      <c r="J38" s="6" t="inlineStr">
        <is>
          <t>all claims that a dealer makes for labor or parts within 30 days after receiving the claim ... Treat as approved any claim ... did not approve or disapprove within 30 days after the manufacturer, distributor or importer received the claim</t>
        </is>
      </c>
      <c r="K38" s="6" t="inlineStr">
        <is>
          <t>§ 650.158(4)(a)-(e) [(4)(a)-(d) in the pre-2026 text]; deemed-approved claims must be paid within 60 days after receipt</t>
        </is>
      </c>
      <c r="L38" s="6" t="n">
        <v>12</v>
      </c>
      <c r="M38" s="6" t="inlineStr">
        <is>
          <t>The 1-year limit does not apply if the manufacturer has reasonable grounds to believe fraud; after 1 year only proven fraudulent amounts may be charged back.</t>
        </is>
      </c>
      <c r="N38" s="6" t="inlineStr">
        <is>
          <t>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is>
      </c>
      <c r="O38" s="6" t="inlineStr">
        <is>
          <t>If a manufacturer ... initiates an audit more than one year following the date of payment, the manufacturer ... may charge back to the dealer only the amount of a claim that the manufacturer ... proves was fraudulent.</t>
        </is>
      </c>
      <c r="P38" s="6" t="inlineStr">
        <is>
          <t>Or. Rev. Stat. § 650.130(8)</t>
        </is>
      </c>
      <c r="Q38" s="6" t="inlineStr">
        <is>
          <t>Franchises entered or renewed on or after 1/1/2026: 'Not more than once per year' the manufacturer may verify and the dealer may propose an increase. Pre-2026 text: only the manufacturer's verification is limited to once per year.</t>
        </is>
      </c>
      <c r="R38" s="6" t="inlineStr">
        <is>
          <t>100 ROs or 90 days (fewer of the two samples); ROs &lt;= 180 days old</t>
        </is>
      </c>
      <c r="S38" s="6" t="inlineStr"/>
      <c r="T38" s="6" t="inlineStr">
        <is>
          <t>Discounted / promotional; Other (see text); Routine maintenance; Prep / reconditioning</t>
        </is>
      </c>
      <c r="U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V38" s="6" t="inlineStr">
        <is>
          <t>30 days after approval; a proposal not contested within 30 days is approved</t>
        </is>
      </c>
      <c r="W38" s="6" t="inlineStr">
        <is>
          <t>copies of 100 sequential nonwarranty service repair invoices that customers paid or 90 consecutive days' worth of nonwarranty service invoices that customers paid, whichever is less, for repairs the dealer made not more than 180 days before the dealer's submission</t>
        </is>
      </c>
      <c r="X38" s="6" t="inlineStr">
        <is>
          <t>§ 650.158(2)(b)(A), (D), (c), (e)</t>
        </is>
      </c>
      <c r="Y38" s="6" t="n">
        <v>30</v>
      </c>
      <c r="Z38" s="6" t="inlineStr">
        <is>
          <t>Yes</t>
        </is>
      </c>
      <c r="AA38" s="6" t="inlineStr">
        <is>
          <t>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is>
      </c>
      <c r="AB38" s="6" t="inlineStr">
        <is>
          <t>Contest within 30 days and propose an adjustment no later than 30 days after submission. After a verified decrease, the manufacturer may reduce compensation prospectively.</t>
        </is>
      </c>
      <c r="AC38" s="6" t="inlineStr"/>
      <c r="AD38" s="6" t="inlineStr">
        <is>
          <t>may contest the dealer's proposal with evidence that the dealer's proposal is not accurate or on the basis that the dealer's proposal does not reasonably conform with the hourly rate or the amount for parts that other dealers charge</t>
        </is>
      </c>
      <c r="AE38" s="6" t="inlineStr">
        <is>
          <t>§ 650.158(2)(b)(B), (c)-(d)</t>
        </is>
      </c>
      <c r="AF38" s="6" t="inlineStr">
        <is>
          <t>Injunction; damages for actual loss of money; court may award reasonable attorney fees and costs to the prevailing party; 2-year limitation for damages (ORS 650.170)</t>
        </is>
      </c>
      <c r="AG38" s="6" t="inlineStr">
        <is>
          <t>None in ORS 650.120-650.173</t>
        </is>
      </c>
      <c r="AH38" s="6" t="inlineStr">
        <is>
          <t>Or. Rev. Stat. § 650.170</t>
        </is>
      </c>
      <c r="AI38" s="6" t="inlineStr">
        <is>
          <t>Or. Rev. Stat. § 650.158; Or. Rev. Stat. § 650.170 (dealer's remedy)</t>
        </is>
      </c>
      <c r="AJ38" s="6" t="inlineStr">
        <is>
          <t>https://www.oregonlegislature.gov/bills_laws/ors/ors650.html (2025 edition); pre-2026 text: https://www.oregonlegislature.gov/bills_laws/archive/2023ors650.pdf ; enrolled HB 2127: https://olis.oregonlegislature.gov/liz/2025R1/Downloads/MeasureDocument/HB2127</t>
        </is>
      </c>
      <c r="AK38" s="6" t="inlineStr">
        <is>
          <t>official</t>
        </is>
      </c>
      <c r="AL38" s="6" t="inlineStr">
        <is>
          <t>high</t>
        </is>
      </c>
      <c r="AM38" s="6" t="inlineStr">
        <is>
          <t>2026-09-25</t>
        </is>
      </c>
      <c r="AN38" s="6" t="inlineStr">
        <is>
          <t>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is>
      </c>
    </row>
    <row r="39">
      <c r="A39" s="6" t="inlineStr">
        <is>
          <t>PA</t>
        </is>
      </c>
      <c r="B39" s="6" t="inlineStr">
        <is>
          <t>Pennsylvania</t>
        </is>
      </c>
      <c r="C39" s="6" t="n">
        <v>30</v>
      </c>
      <c r="D39" s="6" t="inlineStr">
        <is>
          <t>Yes</t>
        </is>
      </c>
      <c r="E39" s="6" t="n">
        <v>30</v>
      </c>
      <c r="F39" s="6" t="inlineStr">
        <is>
          <t>after approval</t>
        </is>
      </c>
      <c r="G39" s="6" t="inlineStr"/>
      <c r="H39" s="6" t="inlineStr">
        <is>
          <t>On disapproval, the manufacturer must describe in writing the reasonable corrective action needed for payment, or the claim is deemed approved 30 days after the original disapproval</t>
        </is>
      </c>
      <c r="I39" s="6" t="inlineStr">
        <is>
          <t>Written or electronic description of the corrective action required. No denial or reduction if the dealer reasonably substantiated the claim under reasonable written requirements notified in advance and in effect when the claim arose.</t>
        </is>
      </c>
      <c r="J39" s="6" t="inlineStr">
        <is>
          <t>is not specifically disapproved in writing or by electronic transmission 30 days after receipt by the manufacturer or distributor is considered approved and payment to the dealer must follow within 30 days.</t>
        </is>
      </c>
      <c r="K39" s="6" t="inlineStr">
        <is>
          <t>§ 307(e)(1), (1.1) (covers warranty, recall, service contract and other required-service claims)</t>
        </is>
      </c>
      <c r="L39" s="6" t="n">
        <v>9</v>
      </c>
      <c r="M39" s="6" t="inlineStr">
        <is>
          <t>With evidence of fraud, the manufacturer may audit longer and charge back fraudulent claims, subject to the 42 Pa.C.S. limitations period</t>
        </is>
      </c>
      <c r="N39" s="6" t="inlineStr">
        <is>
          <t>False or unsubstantiated claims only. After any internal appeal, at least 30 days' written notice before chargeback, giving the amount and basis of each claim and the total. A dealer protest to the Board within those 30 days bars the chargeback until a hearing.</t>
        </is>
      </c>
      <c r="O39" s="6" t="inlineStr">
        <is>
          <t>The manufacturer or distributor shall be permitted to audit claims within a nine-month period from the date the claim was paid or credit issued by the manufacturer or distributor and to charge back any false or unsubstantiated claims.</t>
        </is>
      </c>
      <c r="P39" s="6" t="inlineStr">
        <is>
          <t>§ 307(e)(2)-(3)</t>
        </is>
      </c>
      <c r="Q39" s="6" t="inlineStr">
        <is>
          <t>no more than once in one calendar year</t>
        </is>
      </c>
      <c r="R39" s="6" t="inlineStr">
        <is>
          <t>100 ROs or 90 days (fewer of the two samples); ROs &lt;= 180 days old</t>
        </is>
      </c>
      <c r="S39" s="6" t="inlineStr">
        <is>
          <t>total labor sales ÷ total labor hours that generated the sales</t>
        </is>
      </c>
      <c r="T39" s="6" t="inlineStr">
        <is>
          <t>Discounted / promotional; Other (see text); Routine maintenance; Tires; Prep / reconditioning</t>
        </is>
      </c>
      <c r="U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V39" s="6" t="inlineStr">
        <is>
          <t>60 days following the declaration, unless the franchisor audits the ROs and rebuts</t>
        </is>
      </c>
      <c r="W39" s="6" t="inlineStr">
        <is>
          <t>A declaration of the average labor rate calculated by dividing the amount of the dealer's total labor sales by the number of total labor hours that generated the sales. ... more than once in one calendar year</t>
        </is>
      </c>
      <c r="X39" s="6" t="inlineStr">
        <is>
          <t>§ 307(a)(3)(i)-(iii), (b.1), (b.3)(2)</t>
        </is>
      </c>
      <c r="Y39" s="6" t="n">
        <v>60</v>
      </c>
      <c r="Z39" s="6" t="inlineStr">
        <is>
          <t>Yes</t>
        </is>
      </c>
      <c r="AA39" s="6" t="inlineStr">
        <is>
          <t>Declared rate is 'unreasonable or materially inaccurate'; at the Board, the manufacturer must also show its proposed adjustment is reasonable</t>
        </is>
      </c>
      <c r="AB39" s="6" t="inlineStr">
        <is>
          <t>Rebut within 60 days, propose an adjusted rate no later than 60 days after submission, and give the dealer written support for the rebuttal rate. Annual audits may reduce the rate prospectively if the dealer's effective rates have decreased (b.3)(3).</t>
        </is>
      </c>
      <c r="AC39" s="6" t="inlineStr">
        <is>
          <t>State Board of Vehicle Manufacturers, Dealers and Salespersons protest; manufacturer bears burden</t>
        </is>
      </c>
      <c r="AD39" s="6" t="inlineStr">
        <is>
          <t>a manufacturer or distributor may, no later than 60 days after submission, rebut the presumption by substantiating that the rate is unreasonable or materially inaccurate.</t>
        </is>
      </c>
      <c r="AE39" s="6" t="inlineStr">
        <is>
          <t>§ 307(a)(3)(ii)-(v)</t>
        </is>
      </c>
      <c r="AF39" s="6" t="inlineStr">
        <is>
          <t>Action for damages and equitable relief, including injunctive relief (§ 329)</t>
        </is>
      </c>
      <c r="AG39" s="6" t="inlineStr">
        <is>
          <t>Board may reprimand, suspend, revoke or refuse a license (§ 318). Board civil penalty up to $1,000 (§ 328(c)). Summary offense with a $1,000 fine (§ 328(a)).</t>
        </is>
      </c>
      <c r="AH39" s="6" t="inlineStr">
        <is>
          <t>63 P.S. §§ 818.318, 818.328, 818.329</t>
        </is>
      </c>
      <c r="AI39" s="6" t="inlineStr">
        <is>
          <t>Board of Vehicles Act § 307, 63 P.S. § 818.307; BOVA § 318, 63 P.S. § 818.318 (discipline); BOVA §§ 328-329, 63 P.S. §§ 818.328-818.329 (penalties; civil actions)</t>
        </is>
      </c>
      <c r="AJ39" s="6" t="inlineStr">
        <is>
          <t>https://www.legis.state.pa.us/WU01/LI/LI/US/HTM/1983/0/0084..HTM (official unconsolidated statute; § 307 last amended by Act 134 of 2018; page as fetched 10/6/2026 shows no 2026 amendment notes)</t>
        </is>
      </c>
      <c r="AK39" s="6" t="inlineStr">
        <is>
          <t>official</t>
        </is>
      </c>
      <c r="AL39" s="6" t="inlineStr">
        <is>
          <t>high</t>
        </is>
      </c>
      <c r="AM39" s="6" t="inlineStr">
        <is>
          <t>2026-10-06</t>
        </is>
      </c>
      <c r="AN39" s="6" t="inlineStr">
        <is>
          <t>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is>
      </c>
    </row>
    <row r="40">
      <c r="A40" s="6" t="inlineStr">
        <is>
          <t>RI</t>
        </is>
      </c>
      <c r="B40" s="6" t="inlineStr">
        <is>
          <t>Rhode Island</t>
        </is>
      </c>
      <c r="C40" s="6" t="n">
        <v>30</v>
      </c>
      <c r="D40" s="6" t="inlineStr">
        <is>
          <t>Yes</t>
        </is>
      </c>
      <c r="E40" s="6" t="n">
        <v>30</v>
      </c>
      <c r="F40" s="6" t="inlineStr">
        <is>
          <t>after approval</t>
        </is>
      </c>
      <c r="G40" s="6" t="inlineStr">
        <is>
          <t>Manufacturer must allow at least 90 days for dealers to submit claims</t>
        </is>
      </c>
      <c r="H40" s="6" t="inlineStr">
        <is>
          <t>45 days from receipt of a disapproval to resubmit a corrected claim. The OEM may protest a corrected claim to the Department within 30 days and bears the burden. Incidental-failure chargebacks: at least 60 days from written notice identifying the violated procedure.</t>
        </is>
      </c>
      <c r="I40" s="6" t="inlineStr">
        <is>
          <t>Written notice within 45 days with a detailed explanation of the reasons for disapproval. For time-based denials the OEM must provide evidence that the technician did not spend the time or that the submission did not comply.</t>
        </is>
      </c>
      <c r="J40" s="6" t="inlineStr">
        <is>
          <t>A claim not approved or disapproved within thirty (30) days of receipt shall be deemed approved. ... Payment of, or credit issued on, a claim filed under this section shall be made within thirty (30) days of approval.</t>
        </is>
      </c>
      <c r="K40" s="6" t="inlineStr">
        <is>
          <t>§ 31-5.1-6(a), (i)(2)(i)-(iii), (i)(3)(iii), (i)(4) as amended eff. 10/1/2026. (i)(2) 30-day deemed approval retained; conflicts with (i)(4) 45-day written-notice window.</t>
        </is>
      </c>
      <c r="L40" s="6" t="n">
        <v>12</v>
      </c>
      <c r="M40" s="6" t="inlineStr">
        <is>
          <t>does not limit charge back of any claim proven fraudulent</t>
        </is>
      </c>
      <c r="N40" s="6" t="inlineStr">
        <is>
          <t>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is>
      </c>
      <c r="O40" s="6" t="inlineStr">
        <is>
          <t>shown by the manufacturer or distributor to be false or unsubstantiated, the manufacturer or distributor may charge back the claim within twelve (12) months from the date the claim was paid or credit issued</t>
        </is>
      </c>
      <c r="P40" s="6" t="inlineStr">
        <is>
          <t>§ 31-5.1-6(i)(3)(i)-(iv)</t>
        </is>
      </c>
      <c r="Q40" s="6" t="inlineStr">
        <is>
          <t>no more than twice in one calendar year</t>
        </is>
      </c>
      <c r="R40" s="6" t="inlineStr">
        <is>
          <t>All qualifying ROs, prior calendar month</t>
        </is>
      </c>
      <c r="S40" s="6" t="inlineStr">
        <is>
          <t>total labor sales ÷ total labor hours that generated those sales</t>
        </is>
      </c>
      <c r="T40" s="6" t="inlineStr">
        <is>
          <t>Discounted / promotional; Other (see text); Engine / transmission assembly; Routine maintenance; Tires; Prep / reconditioning</t>
        </is>
      </c>
      <c r="U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V40" s="6" t="inlineStr">
        <is>
          <t>30 days following the declaration, subject to audit of the ROs and rebuttal</t>
        </is>
      </c>
      <c r="W40" s="6" t="inlineStr">
        <is>
          <t>submitting to the manufacturer or distributor all non-warranty customer-paid service repair orders covering repairs made during the month prior to the submission and dividing the amount of the dealer's total labor sales by the number of total labor hours</t>
        </is>
      </c>
      <c r="X40" s="6" t="inlineStr">
        <is>
          <t>§ 31-5.1-6(c), (d), (f); parts at (b)</t>
        </is>
      </c>
      <c r="Y40" s="6" t="n">
        <v>30</v>
      </c>
      <c r="Z40" s="6" t="inlineStr">
        <is>
          <t>Yes</t>
        </is>
      </c>
      <c r="AA40" s="6" t="inlineStr">
        <is>
          <t>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is>
      </c>
      <c r="AB40" s="6" t="inlineStr">
        <is>
          <t>Rebut within 30 days of submission and propose an adjusted rate within 30 days of submission</t>
        </is>
      </c>
      <c r="AC40" s="6" t="inlineStr">
        <is>
          <t>Department (of Revenue, per § 31-5.1-3(c)): dealer protest within 30 days of the proposal; manufacturer bears burden</t>
        </is>
      </c>
      <c r="AD40" s="6" t="inlineStr">
        <is>
          <t>may, not later than thirty (30) days after submission, rebut the presumption by reasonably substantiating that the rate is unfair and unreasonable in light of the practices of all other franchised motor vehicle dealers in the vicinity</t>
        </is>
      </c>
      <c r="AE40" s="6" t="inlineStr">
        <is>
          <t>§ 31-5.1-6(c)</t>
        </is>
      </c>
      <c r="AF40" s="6" t="inlineStr">
        <is>
          <t>Superior court civil action: injunction, actual damages, costs and reasonable attorney's fee (§ 31-5.1-13)</t>
        </is>
      </c>
      <c r="AG40" s="6" t="inlineStr">
        <is>
          <t>Department show-cause hearing; license revocation or suspension on a finding of noncompliance (§ 31-5.1-12)</t>
        </is>
      </c>
      <c r="AH40" s="6" t="inlineStr">
        <is>
          <t>R.I. Gen. Laws §§ 31-5.1-12, 31-5.1-13</t>
        </is>
      </c>
      <c r="AI40" s="6" t="inlineStr">
        <is>
          <t>R.I. Gen. Laws § 31-5.1-6; R.I. Gen. Laws § 31-5.1-12 (enforcement; license); R.I. Gen. Laws § 31-5.1-13 (civil remedies)</t>
        </is>
      </c>
      <c r="AJ40" s="6" t="inlineStr">
        <is>
          <t>https://webserver.rilegislature.gov/Statutes/TITLE31/31-5.1/31-5.1-6.htm (current codified text). 10/1/2026 changes: https://webserver.rilegislature.gov/BillText/BillText26/SenateText26/S2347A.pdf and P.L. 2026 ch. 180: https://webserver.rilegislature.gov/PublicLaws/law26/law26180.htm</t>
        </is>
      </c>
      <c r="AK40" s="6" t="inlineStr">
        <is>
          <t>official</t>
        </is>
      </c>
      <c r="AL40" s="6" t="inlineStr">
        <is>
          <t>high</t>
        </is>
      </c>
      <c r="AM40" s="6" t="inlineStr">
        <is>
          <t>2026-10-06</t>
        </is>
      </c>
      <c r="AN40" s="6" t="inlineStr">
        <is>
          <t>Fields show the rules in force since 10/1/2026 (P.L. 2026 ch. 179/180, identical text; enacted text checked against law26180). The codified site still showed pre-amendment text on 2026-10-06. What changed on 10/1/2026: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is>
      </c>
    </row>
    <row r="41">
      <c r="A41" s="6" t="inlineStr">
        <is>
          <t>SC</t>
        </is>
      </c>
      <c r="B41" s="6" t="inlineStr">
        <is>
          <t>South Carolina</t>
        </is>
      </c>
      <c r="C41" s="6" t="n">
        <v>30</v>
      </c>
      <c r="D41" s="6" t="inlineStr">
        <is>
          <t>Yes</t>
        </is>
      </c>
      <c r="E41" s="6" t="n">
        <v>30</v>
      </c>
      <c r="F41" s="6" t="inlineStr">
        <is>
          <t>after approval</t>
        </is>
      </c>
      <c r="G41" s="6" t="inlineStr"/>
      <c r="H41" s="6" t="inlineStr"/>
      <c r="I41" s="6" t="inlineStr">
        <is>
          <t>Must be specifically disapproved in writing. May not be disapproved if the dealer can substantiate it under reasonable policies. No denial or chargeback for an unintentional administrative error.</t>
        </is>
      </c>
      <c r="J41" s="6" t="inlineStr">
        <is>
          <t>shall be paid within thirty days following approval ... Any claim not specifically disapproved in writing within thirty days after receipt shall be construed to be approved</t>
        </is>
      </c>
      <c r="K41" s="6" t="inlineStr">
        <is>
          <t>§ 56-15-60(F)(1)-(2)</t>
        </is>
      </c>
      <c r="L41" s="6" t="n">
        <v>12</v>
      </c>
      <c r="M41" s="6" t="inlineStr">
        <is>
          <t>The one-year audit limit and the once-per-12-months audit limit do not apply to fraudulent claims</t>
        </is>
      </c>
      <c r="N41" s="6" t="inlineStr">
        <is>
          <t>Chargeback only for fraudulent claims, unnecessary work, or work not properly performed. Warranty audits once per 12 months, covering only the 12 months after payment. No denial or chargeback for an unintentional administrative error.</t>
        </is>
      </c>
      <c r="O41" s="6" t="inlineStr">
        <is>
          <t>the manufacturer may audit claims for up to one year after payment and charge the dealer for fraudulent claims, work done unnecessarily, or work not properly performed.</t>
        </is>
      </c>
      <c r="P41" s="6" t="inlineStr">
        <is>
          <t>§ 56-15-60(F)(1)-(2), (G)(1), (G)(3)</t>
        </is>
      </c>
      <c r="Q41" s="6" t="inlineStr">
        <is>
          <t>not more than once in any 12-month period</t>
        </is>
      </c>
      <c r="R41" s="6" t="inlineStr">
        <is>
          <t>100 ROs or 90 days (fewer of the two samples); ROs &lt;= 180 days old</t>
        </is>
      </c>
      <c r="S41" s="6" t="inlineStr">
        <is>
          <t>retail sales attributable to labor for warranty-like services ÷ hours of labor spent to generate those sales</t>
        </is>
      </c>
      <c r="T41" s="6" t="inlineStr">
        <is>
          <t>Internal; Discounted / promotional; Other (see text); Government; Insurance-paid; Tires; Routine maintenance; Alignments</t>
        </is>
      </c>
      <c r="U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V41" s="6" t="inlineStr">
        <is>
          <t>30 days after the manufacturer's or distributor's approval</t>
        </is>
      </c>
      <c r="W41" s="6" t="inlineStr">
        <is>
          <t>copies of one hundred sequential retail service orders paid by the dealer's customers, or all of the dealer's retail service orders paid by the dealer's customers in a ninety-day period, whichever is less ... more than once in any twelve-month period</t>
        </is>
      </c>
      <c r="X41" s="6" t="inlineStr">
        <is>
          <t>§ 56-15-60(C)(3)-(4)</t>
        </is>
      </c>
      <c r="Y41" s="6" t="inlineStr"/>
      <c r="Z41" s="6" t="inlineStr">
        <is>
          <t>Silent</t>
        </is>
      </c>
      <c r="AA41" s="6" t="inlineStr">
        <is>
          <t>In a protest, the manufacturer must prove the submission did not meet the statutory requirements or is inaccurate or unreasonable</t>
        </is>
      </c>
      <c r="AB41" s="6" t="inlineStr">
        <is>
          <t>Within 30 days of the submission, may request additional necessary documentation, which extends its approval period by 30 days; then approve or deny. The base approval period is not stated. No unduly burdensome methodology.</t>
        </is>
      </c>
      <c r="AC41" s="6" t="inlineStr">
        <is>
          <t>Court of common pleas protest within 30 days of the denial; manufacturer bears burden; retroactive relief if the dealer prevails</t>
        </is>
      </c>
      <c r="AD41" s="6" t="inlineStr">
        <is>
          <t>the manufacturer possesses the burden of proof to establish that the dealer's submission did not meet the respective submission requirements contained within this subsection or is inaccurate or unreasonable</t>
        </is>
      </c>
      <c r="AE41" s="6" t="inlineStr">
        <is>
          <t>§ 56-15-60(C)(4)(b)-(c), (D)(3)</t>
        </is>
      </c>
      <c r="AF41" s="6" t="inlineStr">
        <is>
          <t>Double actual damages, cost of suit and reasonable attorney's fee. Punitive damages up to 3x actual if malicious. Injunctive relief. 4-year limitations period.</t>
        </is>
      </c>
      <c r="AG41" s="6" t="inlineStr">
        <is>
          <t>None specific to manufacturers identified in Chapter 15, Article 1</t>
        </is>
      </c>
      <c r="AH41" s="6" t="inlineStr">
        <is>
          <t>S.C. Code Ann. §§ 56-15-110, 56-15-120</t>
        </is>
      </c>
      <c r="AI41" s="6" t="inlineStr">
        <is>
          <t>S.C. Code Ann. § 56-15-60; S.C. Code Ann. §§ 56-15-110, 56-15-120 (damages; limitations)</t>
        </is>
      </c>
      <c r="AJ41" s="6" t="inlineStr">
        <is>
          <t>https://www.scstatehouse.gov/code/t56c015.php</t>
        </is>
      </c>
      <c r="AK41" s="6" t="inlineStr">
        <is>
          <t>official</t>
        </is>
      </c>
      <c r="AL41" s="6" t="inlineStr">
        <is>
          <t>high</t>
        </is>
      </c>
      <c r="AM41" s="6" t="inlineStr">
        <is>
          <t>2026-09-25</t>
        </is>
      </c>
      <c r="AN41" s="6" t="inlineStr">
        <is>
          <t>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is>
      </c>
    </row>
    <row r="42">
      <c r="A42" s="6" t="inlineStr">
        <is>
          <t>SD</t>
        </is>
      </c>
      <c r="B42" s="6" t="inlineStr">
        <is>
          <t>South Dakota</t>
        </is>
      </c>
      <c r="C42" s="6" t="n">
        <v>30</v>
      </c>
      <c r="D42" s="6" t="inlineStr">
        <is>
          <t>Silent</t>
        </is>
      </c>
      <c r="E42" s="6" t="n">
        <v>30</v>
      </c>
      <c r="F42" s="6" t="inlineStr">
        <is>
          <t>after approval</t>
        </is>
      </c>
      <c r="G42" s="6" t="inlineStr"/>
      <c r="H42" s="6" t="inlineStr">
        <is>
          <t>Claims rejected for technical reasons may be put into proper form; a claim resubmitted 'within thirty days after the receipt of the claim' is considered approved and must be paid within 30 days.</t>
        </is>
      </c>
      <c r="I42" s="6" t="inlineStr">
        <is>
          <t>Written notice of disapproval within the 30-day period (no statement of reasons required by text).</t>
        </is>
      </c>
      <c r="J42" s="6" t="inlineStr">
        <is>
          <t>shall pay all claims made by a vehicle dealer for the labor and parts within thirty days following their approval. The franchisor, component manufacturer, or manufacturer shall either approve or disapprove the claim within thirty days after its receipt.</t>
        </is>
      </c>
      <c r="K42" s="6" t="inlineStr">
        <is>
          <t>§ 32-6B-58</t>
        </is>
      </c>
      <c r="L42" s="6" t="n">
        <v>12</v>
      </c>
      <c r="M42" s="6" t="inlineStr">
        <is>
          <t>2 years from actual or constructive notice of the facts constituting the alleged fraud</t>
        </is>
      </c>
      <c r="N42" s="6" t="inlineStr">
        <is>
          <t>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is>
      </c>
      <c r="O42" s="6" t="inlineStr">
        <is>
          <t>has the right to audit any vehicle dealer claim for a period of one year after the claim is paid to the dealer and to charge back to the new vehicle dealer the amount of any unsubstantiated claim.</t>
        </is>
      </c>
      <c r="P42" s="6" t="inlineStr">
        <is>
          <t>§ 32-6B-58; see §§ 32-6B-58.2, -58.3</t>
        </is>
      </c>
      <c r="Q42" s="6" t="inlineStr"/>
      <c r="R42" s="6" t="inlineStr">
        <is>
          <t>No statutory labor-rate sample</t>
        </is>
      </c>
      <c r="S42" s="6" t="inlineStr"/>
      <c r="T42" s="6" t="inlineStr"/>
      <c r="U42" s="6" t="inlineStr">
        <is>
          <t>None listed.</t>
        </is>
      </c>
      <c r="V42" s="6" t="inlineStr"/>
      <c r="W42" s="6" t="inlineStr">
        <is>
          <t>shall rely on the vehicle dealer's written schedule of hourly labor rates and parts and may not obligate any vehicle dealer to engage in unduly burdensome documentation thereof</t>
        </is>
      </c>
      <c r="X42" s="6" t="inlineStr">
        <is>
          <t>§ 32-6B-61</t>
        </is>
      </c>
      <c r="Y42" s="6" t="inlineStr"/>
      <c r="Z42" s="6" t="inlineStr">
        <is>
          <t>Silent</t>
        </is>
      </c>
      <c r="AA42" s="6" t="inlineStr"/>
      <c r="AB42" s="6" t="inlineStr"/>
      <c r="AC42" s="6" t="inlineStr"/>
      <c r="AD42" s="6" t="inlineStr"/>
      <c r="AE42" s="6" t="inlineStr"/>
      <c r="AF42" s="6" t="inlineStr">
        <is>
          <t>Dealer injured by a violation of §§ 32-6B-45 to -83 may sue to enjoin (no need to prove irreparable injury) and recover actual damages, costs, disbursements and reasonable attorney fees, notwithstanding any agreement or waiver.</t>
        </is>
      </c>
      <c r="AG42" s="6" t="inlineStr">
        <is>
          <t>Department of Revenue may seek a temporary/permanent injunction in circuit court, without bond (§ 32-6B-59). The chapter has no manufacturer license sanction or civil fine for warranty violations.</t>
        </is>
      </c>
      <c r="AH42" s="6" t="inlineStr">
        <is>
          <t>S.D. Codified Laws §§ 32-6B-85, 32-6B-59</t>
        </is>
      </c>
      <c r="AI42" s="6" t="inlineStr">
        <is>
          <t>S.D. Codified Laws § 32-6B-61 (rate/compensation); S.D. Codified Laws § 32-6B-58 (claims, audit); S.D. Codified Laws §§ 32-6B-58.2, -58.3 (chargeback limits); S.D. Codified Laws § 32-6B-85 (civil action); S.D. Codified Laws § 32-6B-59 (department injunction)</t>
        </is>
      </c>
      <c r="AJ42" s="6" t="inlineStr">
        <is>
          <t>https://sdlegislature.gov/Statutes/32-6B-61 (full chapter via https://sdlegislature.gov/api/Statutes/32-6B.html?all=true)</t>
        </is>
      </c>
      <c r="AK42" s="6" t="inlineStr">
        <is>
          <t>official</t>
        </is>
      </c>
      <c r="AL42" s="6" t="inlineStr">
        <is>
          <t>high</t>
        </is>
      </c>
      <c r="AM42" s="6" t="inlineStr">
        <is>
          <t>2026-09-25</t>
        </is>
      </c>
      <c r="AN42" s="6" t="inlineStr">
        <is>
          <t>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is>
      </c>
    </row>
    <row r="43">
      <c r="A43" s="6" t="inlineStr">
        <is>
          <t>TN</t>
        </is>
      </c>
      <c r="B43" s="6" t="inlineStr">
        <is>
          <t>Tennessee</t>
        </is>
      </c>
      <c r="C43" s="6" t="n">
        <v>60</v>
      </c>
      <c r="D43" s="6" t="inlineStr">
        <is>
          <t>Yes</t>
        </is>
      </c>
      <c r="E43" s="6" t="inlineStr"/>
      <c r="F43" s="6" t="inlineStr"/>
      <c r="G43" s="6" t="inlineStr">
        <is>
          <t>Within 30 days after the warranty repair or service is completed</t>
        </is>
      </c>
      <c r="H43" s="6" t="inlineStr"/>
      <c r="I43" s="6" t="inlineStr">
        <is>
          <t>Written notice to the dealer, within 60 days of receipt, that the claim is rejected and the reason. Approved or deemed-approved claims must be paid 'promptly' (no day count).</t>
        </is>
      </c>
      <c r="J43" s="6" t="inlineStr">
        <is>
          <t>All such claims for warranty repairs or servicing properly submitted shall be deemed approved and shall be promptly paid, unless within sixty (60) days after such claims are received</t>
        </is>
      </c>
      <c r="K43" s="6" t="inlineStr">
        <is>
          <t>Tenn. Comp. R. &amp; Regs. 0960-01-.03(1)(a)</t>
        </is>
      </c>
      <c r="L43" s="6" t="n">
        <v>12</v>
      </c>
      <c r="M43" s="6" t="inlineStr">
        <is>
          <t>None stated (rule has no fraud exception)</t>
        </is>
      </c>
      <c r="N43" s="6" t="inlineStr">
        <is>
          <t>MVC rule (not statute): warranty and sales-incentive claims may be reviewed, audited and disallowed only within 12 months after payment and only for good cause. After a 'full and fair' incentive audit, the chargeback is reduced by any different payment or benefit the dealer qualified for on the audited sale. Dealer must keep replaced warranty parts 30 days after submitting the claim unless the franchise agreement says otherwise.</t>
        </is>
      </c>
      <c r="O43" s="6" t="inlineStr">
        <is>
          <t>may, within twelve (12) months after the payment of a warranty claim, review its action, audit the submitting dealer's records and disallow the claim for good cause.</t>
        </is>
      </c>
      <c r="P43" s="6" t="inlineStr">
        <is>
          <t>Tenn. Comp. R. &amp; Regs. 0960-01-.03(1)(a)-(b)</t>
        </is>
      </c>
      <c r="Q43" s="6" t="inlineStr"/>
      <c r="R43" s="6" t="inlineStr">
        <is>
          <t>No statutory labor-rate sample</t>
        </is>
      </c>
      <c r="S43" s="6" t="inlineStr"/>
      <c r="T43" s="6" t="inlineStr"/>
      <c r="U43" s="6" t="inlineStr">
        <is>
          <t>None for labor. Parts-markup sample only: 'routine maintenance such as tire service or oil service'.</t>
        </is>
      </c>
      <c r="V43" s="6" t="inlineStr"/>
      <c r="W43" s="6" t="inlineStr">
        <is>
          <t>In no event shall a manufacturer or distributor pay to its dealers a labor rate per hour for warranty repairs or servicing less than the dealer's retail labor rate for similar repairs</t>
        </is>
      </c>
      <c r="X43" s="6" t="inlineStr">
        <is>
          <t>§ 55-17-121(b); see (a), (c), (d)(2)(C)</t>
        </is>
      </c>
      <c r="Y43" s="6" t="n">
        <v>30</v>
      </c>
      <c r="Z43" s="6" t="inlineStr">
        <is>
          <t>Silent</t>
        </is>
      </c>
      <c r="AA43" s="6" t="inlineStr">
        <is>
          <t>Manufacturer must show the Commission the dealer's retail labor rate is 'improper in light of all economic circumstances'.</t>
        </is>
      </c>
      <c r="AB43" s="6" t="inlineStr">
        <is>
          <t>Labor: written approval or disapproval of a rate-adjustment request within 30 days (MVC Rule 0960-01-.05; no deemed approval stated). Paying below the retail rate requires a showing to the Motor Vehicle Commission ((b)). Parts markup: 30-day approve/deny, appeal to the Commission, manufacturer bears the burden ((d)(2)(C)(ii)).</t>
        </is>
      </c>
      <c r="AC43" s="6" t="inlineStr">
        <is>
          <t>Tennessee Motor Vehicle Commission</t>
        </is>
      </c>
      <c r="AD43" s="6" t="inlineStr">
        <is>
          <t>unless the manufacturer or distributor can show to the commission that the dealer's retail labor rate is improper in light of all economic circumstances.</t>
        </is>
      </c>
      <c r="AE43" s="6" t="inlineStr">
        <is>
          <t>§ 55-17-121(b)</t>
        </is>
      </c>
      <c r="AF43" s="6" t="inlineStr">
        <is>
          <t>None express for warranty pay in Part 1; parts-markup denial may be appealed to the Commission (§ 55-17-121(d)(2)(C)(ii)).</t>
        </is>
      </c>
      <c r="AG43" s="6" t="inlineStr">
        <is>
          <t>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is>
      </c>
      <c r="AH43" s="6" t="inlineStr">
        <is>
          <t>Tenn. Code Ann. §§ 55-17-114(c)(18), 55-17-117</t>
        </is>
      </c>
      <c r="AI43" s="6" t="inlineStr">
        <is>
          <t>Tenn. Code Ann. § 55-17-121; Tenn. Code Ann. § 55-17-114(c)(18) (license ground); Tenn. Code Ann. § 55-17-117 (civil penalty, injunction); Tenn. Comp. R. &amp; Regs. 0960-01-.03 (claims, audits, parts retention); Tenn. Comp. R. &amp; Regs. 0960-01-.04 (computation of warranty charges); Tenn. Comp. R. &amp; Regs. 0960-01-.05 (labor-rate request response)</t>
        </is>
      </c>
      <c r="AJ43" s="6" t="inlineStr">
        <is>
          <t>https://law.justia.com/codes/tennessee/2025/title-55/chapter-17/part-1/section-55-17-121/ (mirror; official T.C.A. is LexisNexis-only)</t>
        </is>
      </c>
      <c r="AK43" s="6" t="inlineStr">
        <is>
          <t>mirror</t>
        </is>
      </c>
      <c r="AL43" s="6" t="inlineStr">
        <is>
          <t>medium</t>
        </is>
      </c>
      <c r="AM43" s="6" t="inlineStr">
        <is>
          <t>2026-10-06</t>
        </is>
      </c>
      <c r="AN43" s="6" t="inlineStr">
        <is>
          <t>Official code is Lexis-only; statute text read from Justia 2025 (history line confirms no amendment after 2021). The statute has no claim deadlines, deemed approval, audit window or chargeback limits; those come from Motor Vehicle Commission Rule 0960-01-.03 (claims, 12-month audit window, parts retention). Rule .04 sets paid hours (manual hours plus actual diagnostic hours) and Rule .05 a 30-day written response to labor-rate requests. Rules read on Cornell LII and Justia (current through 6/26/2025); the official SOS rules PDF (rev. 9/15/2025) returned 403, and the notice for that revision cites only rule .14 (license fees). § 55-17-114(c)(12)'s 'reasonable time' rule covers prior-model-year inventory payments only.</t>
        </is>
      </c>
    </row>
    <row r="44">
      <c r="A44" s="6" t="inlineStr">
        <is>
          <t>TX</t>
        </is>
      </c>
      <c r="B44" s="6" t="inlineStr">
        <is>
          <t>Texas</t>
        </is>
      </c>
      <c r="C44" s="6" t="n">
        <v>30</v>
      </c>
      <c r="D44" s="6" t="inlineStr">
        <is>
          <t>Yes</t>
        </is>
      </c>
      <c r="E44" s="6" t="n">
        <v>30</v>
      </c>
      <c r="F44" s="6" t="inlineStr">
        <is>
          <t>after approval</t>
        </is>
      </c>
      <c r="G44" s="6" t="inlineStr"/>
      <c r="H44" s="6" t="inlineStr"/>
      <c r="I44" s="6" t="inlineStr">
        <is>
          <t>Written notice of the reasons for disapproval.</t>
        </is>
      </c>
      <c r="J44" s="6" t="inlineStr">
        <is>
          <t>A claim that is not disapproved before the 31st day after the date of receipt is considered approved.</t>
        </is>
      </c>
      <c r="K44" s="6" t="inlineStr">
        <is>
          <t>§ 2301.404(b); payment within 30 days of approval § 2301.404(a); reasons § 2301.404(c)</t>
        </is>
      </c>
      <c r="L44" s="6" t="n">
        <v>12</v>
      </c>
      <c r="M44" s="6" t="inlineStr">
        <is>
          <t>No time limit if manufacturer has reasonable grounds to suspect fraud</t>
        </is>
      </c>
      <c r="N44" s="6" t="inlineStr">
        <is>
          <t>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is>
      </c>
      <c r="O44" s="6" t="inlineStr">
        <is>
          <t>A manufacturer or distributor may not audit a claim filed under this subchapter after the first anniversary of the date the claim is submitted unless the manufacturer or distributor has reasonable grounds to suspect that the claim was fraudulent.</t>
        </is>
      </c>
      <c r="P44" s="6" t="inlineStr">
        <is>
          <t>§ 2301.405(b); grounds § 2301.405(a)</t>
        </is>
      </c>
      <c r="Q44" s="6" t="inlineStr">
        <is>
          <t>Once a year, except by agreement of the parties</t>
        </is>
      </c>
      <c r="R44" s="6" t="inlineStr">
        <is>
          <t>100 ROs or 90 days (sample with the higher rate); ROs &lt;= 180 days old</t>
        </is>
      </c>
      <c r="S44" s="6" t="inlineStr">
        <is>
          <t>Average labor rate charged on nonwarranty repairs, exclusive of routine maintenance (averaging method not defined)</t>
        </is>
      </c>
      <c r="T44" s="6" t="inlineStr">
        <is>
          <t>Routine maintenance</t>
        </is>
      </c>
      <c r="U44" s="6" t="inlineStr">
        <is>
          <t>'exclusive of routine maintenance'</t>
        </is>
      </c>
      <c r="V44" s="6" t="inlineStr">
        <is>
          <t>Not stated for approvals; if Board rules for dealer, requested rate effective as of the 60th day after manufacturer received the request</t>
        </is>
      </c>
      <c r="W44" s="6" t="inlineStr">
        <is>
          <t>the manufacturer or distributor shall use the greater of: (1) the average labor rate charged during the preceding six months by the dealer on 100 sequential nonwarranty repair orders, exclusive of routine maintenance</t>
        </is>
      </c>
      <c r="X44" s="6" t="inlineStr">
        <is>
          <t>§ 2301.402(c); frequency § 2301.403(f); request § 2301.403(a)</t>
        </is>
      </c>
      <c r="Y44" s="6" t="n">
        <v>60</v>
      </c>
      <c r="Z44" s="6" t="inlineStr">
        <is>
          <t>No</t>
        </is>
      </c>
      <c r="AA44" s="6" t="inlineStr">
        <is>
          <t>On protest, Board may uphold disapproval or non-response only if manufacturer proves by a preponderance that it was reasonable; otherwise Board orders the requested rate.</t>
        </is>
      </c>
      <c r="AB44" s="6" t="inlineStr">
        <is>
          <t>Written notice of approval/disapproval within 60 days; disapproval must state reasons.</t>
        </is>
      </c>
      <c r="AC44" s="6" t="inlineStr">
        <is>
          <t>Protest to the Board of the Texas Department of Motor Vehicles (§ 2301.403(c)-(e)). Under 43 TAC ch. 224 subch. C the parties must mediate with the department before referral to SOAH (§ 224.90).</t>
        </is>
      </c>
      <c r="AD44" s="6" t="inlineStr">
        <is>
          <t>Not later than the 60th day after the date of receipt of a request under this section, the manufacturer or distributor shall provide written notice to the requesting dealer of the approval or disapproval of the request.</t>
        </is>
      </c>
      <c r="AE44" s="6" t="inlineStr">
        <is>
          <t>§ 2301.403(b); protest and burden § 2301.403(c)-(e)</t>
        </is>
      </c>
      <c r="AF44" s="6" t="inlineStr">
        <is>
          <t>Rate protest to the Board (§ 2301.403). DTPA-based damages action under § 2301.805 covers violations of Subchapter J and §§ 2301.351-.354/.357, not expressly Subchapter I (warranty).</t>
        </is>
      </c>
      <c r="AG44" s="6" t="inlineStr">
        <is>
          <t>Board civil penalty up to $10,000 per violation, each day a separate violation (§ 2301.801); license denial, revocation, suspension, probation or reprimand for violating the chapter (§ 2301.651(a)(3)); cease-and-desist orders (§ 2301.802); suit for injunction/civil penalty (§ 2301.804).</t>
        </is>
      </c>
      <c r="AH44" s="6" t="inlineStr">
        <is>
          <t>Tex. Occ. Code §§ 2301.403, 2301.651, 2301.801, 2301.802, 2301.804, 2301.805</t>
        </is>
      </c>
      <c r="AI44" s="6" t="inlineStr">
        <is>
          <t>Tex. Occ. Code § 2301.402 (rate); § 2301.403 (adjustment/protest); § 2301.404 (time for payment); § 2301.405 (chargeback/audit); §§ 2301.651, 2301.801-.805 (sanctions)</t>
        </is>
      </c>
      <c r="AJ44" s="6" t="inlineStr">
        <is>
          <t>https://statutes.capitol.texas.gov/Docs/OC/htm/OC.2301.htm (read via Legislature file server https://tcss.legis.texas.gov/resources/OC/htm/OC.2301.htm)</t>
        </is>
      </c>
      <c r="AK44" s="6" t="inlineStr">
        <is>
          <t>official</t>
        </is>
      </c>
      <c r="AL44" s="6" t="inlineStr">
        <is>
          <t>high</t>
        </is>
      </c>
      <c r="AM44" s="6" t="inlineStr">
        <is>
          <t>2026-10-06</t>
        </is>
      </c>
      <c r="AN44" s="6" t="inlineStr">
        <is>
          <t>The 'greater of' test favors the dealer. No time-allowance standard; § 2301.401(b) makes manufacturer warranty requirements unenforceable unless reasonable. Claim/payment rules also cover preparation-and-delivery claims.</t>
        </is>
      </c>
    </row>
    <row r="45">
      <c r="A45" s="6" t="inlineStr">
        <is>
          <t>UT</t>
        </is>
      </c>
      <c r="B45" s="6" t="inlineStr">
        <is>
          <t>Utah</t>
        </is>
      </c>
      <c r="C45" s="6" t="n">
        <v>30</v>
      </c>
      <c r="D45" s="6" t="inlineStr">
        <is>
          <t>Yes</t>
        </is>
      </c>
      <c r="E45" s="6" t="n">
        <v>30</v>
      </c>
      <c r="F45" s="6" t="inlineStr">
        <is>
          <t>after approval</t>
        </is>
      </c>
      <c r="G45" s="6" t="inlineStr"/>
      <c r="H45" s="6" t="inlineStr"/>
      <c r="I45" s="6" t="inlineStr">
        <is>
          <t>Must be 'specifically disapproved' in writing; denial allowed only if nonwarranty/nonrecall repair, lack of material documentation, material noncompliance with specific substantive program terms, or bona fide belief on competent evidence of intentional falsity/fraud ((8)).</t>
        </is>
      </c>
      <c r="J45" s="6" t="inlineStr">
        <is>
          <t>Any claim not specifically disapproved of in writing within 30 days after the receipt of the form is considered to be approved and payment shall be made within 30 days.</t>
        </is>
      </c>
      <c r="K45" s="6" t="inlineStr">
        <is>
          <t>§ 13-14-204(6)(a)-(b); denial grounds (8)</t>
        </is>
      </c>
      <c r="L45" s="6" t="n">
        <v>6</v>
      </c>
      <c r="M45" s="6" t="inlineStr">
        <is>
          <t>Time limits do not preclude chargebacks for any fraudulent claim previously paid</t>
        </is>
      </c>
      <c r="N45" s="6" t="inlineStr">
        <is>
          <t>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is>
      </c>
      <c r="O45" s="6" t="inlineStr">
        <is>
          <t>Any charge back for a warranty part or service compensation, recall repair compensation, or service incentive is only enforceable for the six-month period immediately following the day on which the franchisor makes the payment</t>
        </is>
      </c>
      <c r="P45" s="6" t="inlineStr">
        <is>
          <t>§ 13-14-204(9)(a), (c)-(e); § 13-14-201(1)(gg)</t>
        </is>
      </c>
      <c r="Q45" s="6" t="inlineStr">
        <is>
          <t>Once in a 12-month period (labor rate and parts markup each)</t>
        </is>
      </c>
      <c r="R45" s="6" t="inlineStr">
        <is>
          <t>100 ROs or 90 days (fewer of the two samples); ROs &lt;= 180 days old</t>
        </is>
      </c>
      <c r="S45" s="6" t="inlineStr">
        <is>
          <t>Total labor charges in the submitted qualified repairs / total hours in those qualified repairs</t>
        </is>
      </c>
      <c r="T45" s="6" t="inlineStr">
        <is>
          <t>Routine maintenance; Tires; Alignments; Government; Insurance-paid; Service-contract paid; Discounted / promotional; Internal; Accessories; State inspections; Prep / reconditioning; Goodwill; Warranty / recall; Other (see text)</t>
        </is>
      </c>
      <c r="U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V45" s="6" t="inlineStr">
        <is>
          <t>30 days after submission unless franchisor timely objects or requests supplemental ROs; adjusted rate effective on later of 30 days after submission or after supplemental ROs; payment must start within 15 days of effective date</t>
        </is>
      </c>
      <c r="W45" s="6" t="inlineStr">
        <is>
          <t>whichever of the following produces the fewer number of repair orders, all of which must be for repairs made no more than 180 days before such submission</t>
        </is>
      </c>
      <c r="X45" s="6" t="inlineStr">
        <is>
          <t>§ 13-14-204(3)(c)-(h); exclusions (3)(a)(ii)</t>
        </is>
      </c>
      <c r="Y45" s="6" t="n">
        <v>30</v>
      </c>
      <c r="Z45" s="6" t="inlineStr">
        <is>
          <t>Yes</t>
        </is>
      </c>
      <c r="AA45" s="6" t="inlineStr">
        <is>
          <t>Written objection to the 'material accuracy' of the rate; or, if submission is 'substantially higher' than current warranty rate, request supplemental ROs (30 days before/after) and propose an adjusted rate using the same rules, formula and exclusions.</t>
        </is>
      </c>
      <c r="AB45" s="6" t="inlineStr">
        <is>
          <t>Within 30 days: written objection or written request for all ROs from the 30 days before/after (clocks suspended until supplied); then within 30 days of supplemental ROs, propose adjusted rate from any set of the dealer's qualified ROs.</t>
        </is>
      </c>
      <c r="AC45" s="6" t="inlineStr">
        <is>
          <t>Not specified in § 204. Request for agency action before the Department of Commerce executive director (§ 13-14-107), an informal proceeding decided on written submissions without an evidentiary hearing (Utah Admin. Code R151-14-3(1), (7)); or private action (§ 13-14-308).</t>
        </is>
      </c>
      <c r="AD45" s="6" t="inlineStr">
        <is>
          <t>unless, within 30 days after receiving the franchisee's submission, the franchisor delivers to the franchisee: (A) a written objection to the material accuracy of the retail labor rate or retail parts markup</t>
        </is>
      </c>
      <c r="AE45" s="6" t="inlineStr">
        <is>
          <t>§ 13-14-204(3)(e)</t>
        </is>
      </c>
      <c r="AF45" s="6" t="inlineStr">
        <is>
          <t>Franchisee private right of action for actual damages and reasonable attorney fees (§ 13-14-308(1)); adjudicative proceeding by request for agency action, with costs incl. reasonable attorney fees apportioned (§ 13-14-107).</t>
        </is>
      </c>
      <c r="AG45" s="6" t="inlineStr">
        <is>
          <t>Executive director may issue cease-and-desist order and administrative fine after hearing (§ 13-14-106(1)); department may sue to enforce order and seek up to $5,000 per day of violation of an order (§ 13-14-106(2)(b)).</t>
        </is>
      </c>
      <c r="AH45" s="6" t="inlineStr">
        <is>
          <t>Utah Code §§ 13-14-106, 13-14-107, 13-14-308</t>
        </is>
      </c>
      <c r="AI45" s="6" t="inlineStr">
        <is>
          <t>Utah Code § 13-14-204; Utah Code § 13-14-201(1)(gg), (jj) (audit protest/mediation; cost recovery); Utah Code §§ 13-14-106, -107, -308 (enforcement/remedies)</t>
        </is>
      </c>
      <c r="AJ45" s="6" t="inlineStr">
        <is>
          <t>https://le.utah.gov/xcode/Title13/Chapter14/13-14-S204.html (version C13-14-S204_2023050320230503, effective 5/3/2023)</t>
        </is>
      </c>
      <c r="AK45" s="6" t="inlineStr">
        <is>
          <t>official</t>
        </is>
      </c>
      <c r="AL45" s="6" t="inlineStr">
        <is>
          <t>high</t>
        </is>
      </c>
      <c r="AM45" s="6" t="inlineStr">
        <is>
          <t>2026-10-06</t>
        </is>
      </c>
      <c r="AN45" s="6" t="inlineStr">
        <is>
          <t>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is>
      </c>
    </row>
    <row r="46">
      <c r="A46" s="6" t="inlineStr">
        <is>
          <t>VA</t>
        </is>
      </c>
      <c r="B46" s="6" t="inlineStr">
        <is>
          <t>Virginia</t>
        </is>
      </c>
      <c r="C46" s="6" t="n">
        <v>30</v>
      </c>
      <c r="D46" s="6" t="inlineStr">
        <is>
          <t>Silent</t>
        </is>
      </c>
      <c r="E46" s="6" t="n">
        <v>30</v>
      </c>
      <c r="F46" s="6" t="inlineStr">
        <is>
          <t>after submission</t>
        </is>
      </c>
      <c r="G46" s="6" t="inlineStr"/>
      <c r="H46" s="6" t="inlineStr"/>
      <c r="I46" s="6" t="inlineStr">
        <is>
          <t>Rejected in writing for stated reasons; denial only for good cause (e.g., nonwarranty repair, lack of material documentation, fraud, misrepresentation); failure to meet claim-processing requirements is not grounds if reasonable documentation substantiates the claim.</t>
        </is>
      </c>
      <c r="J46" s="6" t="inlineStr">
        <is>
          <t>Claims for dealer compensation shall be paid within 30 days of dealer submission or within 30 days of the end of an incentive program or rejected in writing for stated reasons.</t>
        </is>
      </c>
      <c r="K46" s="6" t="inlineStr">
        <is>
          <t>§ 46.2-1571(A) (unnumbered paragraph after A.6)</t>
        </is>
      </c>
      <c r="L46" s="6" t="n">
        <v>6</v>
      </c>
      <c r="M46" s="6" t="inlineStr">
        <is>
          <t>Limits do not apply if manufacturer has 'reasonable cause' (bona fide, evidence-based belief) that a claim is intentionally false or fraudulent</t>
        </is>
      </c>
      <c r="N46" s="6" t="inlineStr">
        <is>
          <t>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is>
      </c>
      <c r="O46" s="6" t="inlineStr">
        <is>
          <t>Any chargebacks for recall or warranty parts or service compensation and service incentives shall only be for the six-month period immediately following the date of the claim</t>
        </is>
      </c>
      <c r="P46" s="6" t="inlineStr">
        <is>
          <t>§ 46.2-1571(A) (paragraph after A.6); collection stay § 46.2-1571(F)</t>
        </is>
      </c>
      <c r="Q46" s="6" t="inlineStr"/>
      <c r="R46" s="6" t="inlineStr">
        <is>
          <t>100 ROs or 90 days (fewer of the two samples)</t>
        </is>
      </c>
      <c r="S46" s="6" t="inlineStr"/>
      <c r="T46" s="6" t="inlineStr">
        <is>
          <t>Discounted / promotional; Internal; Insurance-paid</t>
        </is>
      </c>
      <c r="U46" s="6" t="inlineStr">
        <is>
          <t>'retail' does not include menu-priced parts or services, services and parts used in internal repairs paid by the dealer, group discounts, special event discounts, special event promotions, and insurance-paid repairs; non-retail portions of mixed ROs excluded.</t>
        </is>
      </c>
      <c r="V46" s="6" t="inlineStr"/>
      <c r="W46" s="6" t="inlineStr">
        <is>
          <t>shall be requested by the dealer in writing, shall be based on 100 consecutive repair orders or all repair orders over a 90-day period, whichever occurs first.</t>
        </is>
      </c>
      <c r="X46" s="6" t="inlineStr">
        <is>
          <t>§ 46.2-1571(A)(3); retail definition (A)(2)</t>
        </is>
      </c>
      <c r="Y46" s="6" t="inlineStr"/>
      <c r="Z46" s="6" t="inlineStr">
        <is>
          <t>Silent</t>
        </is>
      </c>
      <c r="AA46" s="6" t="inlineStr"/>
      <c r="AB46" s="6" t="inlineStr"/>
      <c r="AC46" s="6" t="inlineStr">
        <is>
          <t>Commissioner of the Department of Motor Vehicles hearing (petition within 30 days after written notice of dispute); manufacturer bears burden of proof in dealer-initiated hearings (§ 46.2-1573(A))</t>
        </is>
      </c>
      <c r="AD46" s="6" t="inlineStr">
        <is>
          <t>either party may petition the Commissioner in writing, within 30 days after either party has given written notice of the dispute to the other, for a hearing.</t>
        </is>
      </c>
      <c r="AE46" s="6" t="inlineStr">
        <is>
          <t>§ 46.2-1571(F); § 46.2-1573(A)</t>
        </is>
      </c>
      <c r="AF46" s="6" t="inlineStr">
        <is>
          <t>Commissioner hearing with manufacturer burden (§§ 46.2-1571(F), 46.2-1573(A)); circuit court award of reasonable attorney's fees and costs after a Commissioner finding of violation (§ 46.2-1573.01).</t>
        </is>
      </c>
      <c r="AG46" s="6" t="inlineStr">
        <is>
          <t>Civil penalty up to $1,000 per day of noncompliance with a Commissioner decision (§ 46.2-1573(E)); Board civil penalty up to $1,000 per violation of the chapter (§ 46.2-1507).</t>
        </is>
      </c>
      <c r="AH46" s="6" t="inlineStr">
        <is>
          <t>Va. Code Ann. §§ 46.2-1571(F), 46.2-1573, 46.2-1573.01, 46.2-1507</t>
        </is>
      </c>
      <c r="AI46" s="6" t="inlineStr">
        <is>
          <t>Va. Code Ann. § 46.2-1571(A), (B)(5), (F); Va. Code Ann. § 46.2-1573 (hearings, civil penalties); Va. Code Ann. § 46.2-1573.01 (attorney fees); Va. Code Ann. § 46.2-1507 (civil penalty)</t>
        </is>
      </c>
      <c r="AJ46" s="6" t="inlineStr">
        <is>
          <t>https://law.lis.virginia.gov/vacode/title46.2/chapter15/section46.2-1571/</t>
        </is>
      </c>
      <c r="AK46" s="6" t="inlineStr">
        <is>
          <t>official</t>
        </is>
      </c>
      <c r="AL46" s="6" t="inlineStr">
        <is>
          <t>high</t>
        </is>
      </c>
      <c r="AM46" s="6" t="inlineStr">
        <is>
          <t>2026-09-25</t>
        </is>
      </c>
      <c r="AN46" s="6" t="inlineStr">
        <is>
          <t>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is>
      </c>
    </row>
    <row r="47">
      <c r="A47" s="6" t="inlineStr">
        <is>
          <t>VT</t>
        </is>
      </c>
      <c r="B47" s="6" t="inlineStr">
        <is>
          <t>Vermont</t>
        </is>
      </c>
      <c r="C47" s="6" t="n">
        <v>45</v>
      </c>
      <c r="D47" s="6" t="inlineStr">
        <is>
          <t>Yes</t>
        </is>
      </c>
      <c r="E47" s="6" t="n">
        <v>45</v>
      </c>
      <c r="F47" s="6" t="inlineStr">
        <is>
          <t>after approval</t>
        </is>
      </c>
      <c r="G47" s="6" t="inlineStr"/>
      <c r="H47" s="6" t="inlineStr"/>
      <c r="I47" s="6" t="inlineStr">
        <is>
          <t>Must be 'specifically disapproved in writing' within 45 days of receipt.</t>
        </is>
      </c>
      <c r="J47" s="6" t="inlineStr">
        <is>
          <t>any claim not specifically disapproved in writing within 45 days after the receipt shall be construed to be approved and payment must follow within 45 days.</t>
        </is>
      </c>
      <c r="K47" s="6" t="inlineStr">
        <is>
          <t>§ 4086(e)</t>
        </is>
      </c>
      <c r="L47" s="6" t="n">
        <v>12</v>
      </c>
      <c r="M47" s="6" t="inlineStr">
        <is>
          <t>Fraudulent claims: 2 years following payment ((e))</t>
        </is>
      </c>
      <c r="N47" s="6" t="inlineStr">
        <is>
          <t>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is>
      </c>
      <c r="O47" s="6" t="inlineStr">
        <is>
          <t>A manufacturer shall retain the right to audit warranty claims for a period of one year after the date on which the claim is paid.</t>
        </is>
      </c>
      <c r="P47" s="6" t="inlineStr">
        <is>
          <t>§ 4086(f); see (e), (g), (h)</t>
        </is>
      </c>
      <c r="Q47" s="6" t="inlineStr"/>
      <c r="R47" s="6" t="inlineStr">
        <is>
          <t>No statutory labor-rate sample</t>
        </is>
      </c>
      <c r="S47" s="6" t="inlineStr"/>
      <c r="T47" s="6" t="inlineStr"/>
      <c r="U47" s="6" t="inlineStr">
        <is>
          <t>None for labor. Parts-markup sample only excludes warranty repairs, state inspection, routine maintenance such as oil and oil filter changes, and accessories.</t>
        </is>
      </c>
      <c r="V47" s="6" t="inlineStr"/>
      <c r="W47" s="6" t="inlineStr">
        <is>
          <t>the manufacturer shall reimburse the new motor vehicle dealer for any labor performed at the retail rate customarily charged by that franchisee for the same labor when not performed in satisfaction of a warranty</t>
        </is>
      </c>
      <c r="X47" s="6" t="inlineStr">
        <is>
          <t>§ 4086(c) (last sentence); floor and presumption § 4086(b)</t>
        </is>
      </c>
      <c r="Y47" s="6" t="inlineStr"/>
      <c r="Z47" s="6" t="inlineStr">
        <is>
          <t>Silent</t>
        </is>
      </c>
      <c r="AA47" s="6" t="inlineStr">
        <is>
          <t>Rebut presumption by showing the dealer's amount is unfair and unreasonable in light of the practices of at least four other franchised dealers in the vicinity offering the same or a similar competitive line-make.</t>
        </is>
      </c>
      <c r="AB47" s="6" t="inlineStr">
        <is>
          <t>Rebuttal showing (no procedure or deadline stated); cost recovery by reduction, surcharge or other imposition is barred.</t>
        </is>
      </c>
      <c r="AC47" s="6" t="inlineStr">
        <is>
          <t>Vermont Transportation Board protest (§ 4100b) or Superior Court (§ 4099)</t>
        </is>
      </c>
      <c r="AD47" s="6" t="inlineStr">
        <is>
          <t>a manufacturer may rebut such a presumption by showing that such amount so established is unfair and unreasonable in light of the practices of at least four other franchised motor vehicle dealers in the vicinity</t>
        </is>
      </c>
      <c r="AE47" s="6" t="inlineStr">
        <is>
          <t>§ 4086(b)</t>
        </is>
      </c>
      <c r="AF47" s="6" t="inlineStr">
        <is>
          <t>Civil action to enjoin and recover actual damages plus costs incl. reasonable attorney's fee (§ 4099), stayed if a party files with the Board within 60 days; Board protest with attorney's fees and costs to prevailing party (§ 4100b(i)); 4-year limitations period (§ 4100d).</t>
        </is>
      </c>
      <c r="AG47" s="6" t="inlineStr">
        <is>
          <t>Transportation Board decisions and orders (§ 4100b(c)); civil penalty up to $2,500 per day for reckless/knowing noncompliance with a Board order (§ 4100b(g)).</t>
        </is>
      </c>
      <c r="AH47" s="6" t="inlineStr">
        <is>
          <t>9 V.S.A. §§ 4099, 4100b, 4100d; § 4097(9)</t>
        </is>
      </c>
      <c r="AI47" s="6" t="inlineStr">
        <is>
          <t>Vt. Stat. Ann. tit. 9, § 4086; 9 V.S.A. § 4097(9) (warranty-reimbursement discrimination); 9 V.S.A. §§ 4099, 4100b (remedies/Board)</t>
        </is>
      </c>
      <c r="AJ47" s="6" t="inlineStr">
        <is>
          <t>https://legislature.vermont.gov/statutes/section/09/108/04086 (full chapter https://legislature.vermont.gov/statutes/fullchapter/09/108)</t>
        </is>
      </c>
      <c r="AK47" s="6" t="inlineStr">
        <is>
          <t>official</t>
        </is>
      </c>
      <c r="AL47" s="6" t="inlineStr">
        <is>
          <t>high</t>
        </is>
      </c>
      <c r="AM47" s="6" t="inlineStr">
        <is>
          <t>2026-09-25</t>
        </is>
      </c>
      <c r="AN47" s="6" t="inlineStr">
        <is>
          <t>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is>
      </c>
    </row>
    <row r="48">
      <c r="A48" s="6" t="inlineStr">
        <is>
          <t>WA</t>
        </is>
      </c>
      <c r="B48" s="6" t="inlineStr">
        <is>
          <t>Washington</t>
        </is>
      </c>
      <c r="C48" s="6" t="n">
        <v>30</v>
      </c>
      <c r="D48" s="6" t="inlineStr">
        <is>
          <t>Yes</t>
        </is>
      </c>
      <c r="E48" s="6" t="n">
        <v>30</v>
      </c>
      <c r="F48" s="6" t="inlineStr">
        <is>
          <t>after submission</t>
        </is>
      </c>
      <c r="G48" s="6" t="inlineStr">
        <is>
          <t>Within 90 days of the date the work was performed</t>
        </is>
      </c>
      <c r="H48" s="6" t="inlineStr"/>
      <c r="I48" s="6" t="inlineStr">
        <is>
          <t>Written notice setting forth the reasons the claim was not approved.</t>
        </is>
      </c>
      <c r="J48" s="6" t="inlineStr">
        <is>
          <t>All claims for warranty work for parts and labor made by dealers under this section must be submitted to the manufacturer within ninety days of the date the work was performed.</t>
        </is>
      </c>
      <c r="K48" s="6" t="inlineStr">
        <is>
          <t>§ 46.96.105(2); decision/deemed approval (3)</t>
        </is>
      </c>
      <c r="L48" s="6" t="n">
        <v>9</v>
      </c>
      <c r="M48" s="6" t="inlineStr">
        <is>
          <t>Fraudulent claims: any period in which a fraud action may be commenced under state law</t>
        </is>
      </c>
      <c r="N48" s="6" t="inlineStr">
        <is>
          <t>Chargeback only for unsubstantiated, incorrect, or false claims; no cost recovery by reduction, surcharge or other imposition ((4)).</t>
        </is>
      </c>
      <c r="O48" s="6" t="inlineStr">
        <is>
          <t>The manufacturer has the right to audit claims for warranty work and to charge the dealer for any unsubstantiated, incorrect, or false claims for a period of nine months following payment.</t>
        </is>
      </c>
      <c r="P48" s="6" t="inlineStr">
        <is>
          <t>§ 46.96.105(2)</t>
        </is>
      </c>
      <c r="Q48" s="6" t="inlineStr">
        <is>
          <t>One increase per calendar year (labor/diagnostic rate and parts markup each)</t>
        </is>
      </c>
      <c r="R48" s="6" t="inlineStr">
        <is>
          <t>No statutory labor-rate sample</t>
        </is>
      </c>
      <c r="S48" s="6" t="inlineStr"/>
      <c r="T48" s="6" t="inlineStr">
        <is>
          <t>Discounted / promotional; Insurance-paid; Routine maintenance; Tires; Prep / reconditioning; Other (see text)</t>
        </is>
      </c>
      <c r="U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V48" s="6" t="inlineStr"/>
      <c r="W48" s="6" t="inlineStr">
        <is>
          <t>A dealer may not be granted an increase in the average percentage markup or labor and diagnostic work rate more than once in one calendar year.</t>
        </is>
      </c>
      <c r="X48" s="6" t="inlineStr">
        <is>
          <t>§ 46.96.105(1)(c); exclusions (1)(a)(i)-(vii); labor (1)(b)</t>
        </is>
      </c>
      <c r="Y48" s="6" t="inlineStr"/>
      <c r="Z48" s="6" t="inlineStr">
        <is>
          <t>Silent</t>
        </is>
      </c>
      <c r="AA48" s="6" t="inlineStr">
        <is>
          <t>Manufacturer must demonstrate the rates 'unreasonably exceed those of all other' franchised dealers in the same relevant market area offering the same or a competitive line.</t>
        </is>
      </c>
      <c r="AB48" s="6" t="inlineStr">
        <is>
          <t>If manufacturer need not honor the proposed increase, the dealer may resubmit a new proposed rate (no deadlines stated).</t>
        </is>
      </c>
      <c r="AC48" s="6" t="inlineStr">
        <is>
          <t>Department of Licensing adjudicative proceeding (ch. 34.05 RCW; $500 petition fee, WAC 308-67-010) or court (RCW 46.96.260)</t>
        </is>
      </c>
      <c r="AD48" s="6" t="inlineStr">
        <is>
          <t>If a manufacturer can demonstrate that the rates unreasonably exceed those of all other franchised motor vehicle dealers in the same relevant market area offering the same or a competitive motor vehicle line</t>
        </is>
      </c>
      <c r="AE48" s="6" t="inlineStr">
        <is>
          <t>§ 46.96.105(1)(b)</t>
        </is>
      </c>
      <c r="AF48" s="6" t="inlineStr">
        <is>
          <t>Dealer (or dealer association) may petition DOL for an adjudicative proceeding or sue for actual damages, declaratory relief, injunction, costs and reasonable attorneys' fees if prevailing; court may treble damages for willful violations.</t>
        </is>
      </c>
      <c r="AG48" s="6" t="inlineStr">
        <is>
          <t>Director may deny, suspend or revoke a manufacturer's license and/or assess civil penalties up to $1,000 per violation, incl. for failing to reimburse dealers within a reasonable time for warranty obligations.</t>
        </is>
      </c>
      <c r="AH48" s="6" t="inlineStr">
        <is>
          <t>RCW 46.96.260; RCW 46.70.101(2)(j)</t>
        </is>
      </c>
      <c r="AI48" s="6" t="inlineStr">
        <is>
          <t>Rev. Code Wash. § 46.96.105; RCW 46.96.260 (civil actions); RCW 46.70.101(2)(j) (manufacturer license sanctions)</t>
        </is>
      </c>
      <c r="AJ48" s="6" t="inlineStr">
        <is>
          <t>https://app.leg.wa.gov/RCW/default.aspx?cite=46.96.105</t>
        </is>
      </c>
      <c r="AK48" s="6" t="inlineStr">
        <is>
          <t>official</t>
        </is>
      </c>
      <c r="AL48" s="6" t="inlineStr">
        <is>
          <t>high</t>
        </is>
      </c>
      <c r="AM48" s="6" t="inlineStr">
        <is>
          <t>2026-10-06</t>
        </is>
      </c>
      <c r="AN48" s="6" t="inlineStr">
        <is>
          <t>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 Where the warranty agreement requires prior approval, the manufacturer must give it within a reasonable time and no later than 10 days, except in life, health or safety emergencies (WAC 308-66-150(2)).</t>
        </is>
      </c>
    </row>
    <row r="49">
      <c r="A49" s="6" t="inlineStr">
        <is>
          <t>WI</t>
        </is>
      </c>
      <c r="B49" s="6" t="inlineStr">
        <is>
          <t>Wisconsin</t>
        </is>
      </c>
      <c r="C49" s="6" t="n">
        <v>30</v>
      </c>
      <c r="D49" s="6" t="inlineStr">
        <is>
          <t>Yes</t>
        </is>
      </c>
      <c r="E49" s="6" t="n">
        <v>30</v>
      </c>
      <c r="F49" s="6" t="inlineStr">
        <is>
          <t>after approval</t>
        </is>
      </c>
      <c r="G49" s="6" t="inlineStr"/>
      <c r="H49" s="6" t="inlineStr"/>
      <c r="I49" s="6" t="inlineStr">
        <is>
          <t>Must be 'specifically disapproved in writing or by electronic transmission' within 30 days.</t>
        </is>
      </c>
      <c r="J49" s="6" t="inlineStr">
        <is>
          <t>If a claim is not specifically disapproved in writing or by electronic transmission within 30 days after the date on which the manufacturer, importer or distributor receives it, the claim shall be considered to be approved</t>
        </is>
      </c>
      <c r="K49" s="6" t="inlineStr">
        <is>
          <t>§ 218.0125(7)</t>
        </is>
      </c>
      <c r="L49" s="6" t="n">
        <v>12</v>
      </c>
      <c r="M49" s="6" t="inlineStr">
        <is>
          <t>With evidence of fraud, longer audit/chargeback allowed subject to the limitations period in s. 893.93(1)(cm)</t>
        </is>
      </c>
      <c r="N49" s="6" t="inlineStr">
        <is>
          <t>Chargeback only of amounts paid on false or unsubstantiated claims.</t>
        </is>
      </c>
      <c r="O49" s="6" t="inlineStr">
        <is>
          <t>A manufacturer, importer or distributor retains the right to audit claims for a period of one year after the date on which the claim is paid and to charge back any amounts paid on claims that are false or unsubstantiated.</t>
        </is>
      </c>
      <c r="P49" s="6" t="inlineStr">
        <is>
          <t>§ 218.0125(7)</t>
        </is>
      </c>
      <c r="Q49" s="6" t="inlineStr"/>
      <c r="R49" s="6" t="inlineStr">
        <is>
          <t>100 ROs or 90 days (fewer of the two samples); ROs &lt;= 180 days old; OEM-hour denominator</t>
        </is>
      </c>
      <c r="S49" s="6" t="inlineStr">
        <is>
          <t>Total customer labor charges for qualifying nonwarranty repairs / total hours the manufacturer's warranty time allowances would allow for those repairs (OEM-hour denominator); pay = effective rate x warranty time allowance</t>
        </is>
      </c>
      <c r="T49" s="6" t="inlineStr">
        <is>
          <t>Routine maintenance; Warranty / recall</t>
        </is>
      </c>
      <c r="U49" s="6" t="inlineStr">
        <is>
          <t>Qualifying nonwarranty repairs 'does not include routine maintenance'; warranty repairs excluded by definition.</t>
        </is>
      </c>
      <c r="V49" s="6" t="inlineStr">
        <is>
          <t>Manufacturer must begin paying the substantiated rate within 30 days after receiving the submission</t>
        </is>
      </c>
      <c r="W49" s="6" t="inlineStr">
        <is>
          <t>by dividing the total customer labor charges for qualifying nonwarranty repairs in the repair orders by the total number of hours that would be allowed for the repairs</t>
        </is>
      </c>
      <c r="X49" s="6" t="inlineStr">
        <is>
          <t>§ 218.0125(3m)(c)1.; sample (4m)(a)</t>
        </is>
      </c>
      <c r="Y49" s="6" t="n">
        <v>30</v>
      </c>
      <c r="Z49" s="6" t="inlineStr">
        <is>
          <t>Silent</t>
        </is>
      </c>
      <c r="AA49" s="6" t="inlineStr">
        <is>
          <t>Pay the rate 'substantiated by the submission'. (The 'not reasonably competitive' defense in sub. (5) is for parts only.)</t>
        </is>
      </c>
      <c r="AB49" s="6" t="inlineStr">
        <is>
          <t>Written dispute notice explaining the reason and stating the labor rate or markup the manufacturer finds substantiated by the submission; must still begin paying the substantiated rate within 30 days.</t>
        </is>
      </c>
      <c r="AC49" s="6" t="inlineStr">
        <is>
          <t>Not specified in § 218.0125; court action under § 218.0163(1)(a) or licensing proceedings under § 218.0116</t>
        </is>
      </c>
      <c r="AD49" s="6" t="inlineStr">
        <is>
          <t>Not more than 30 days after receiving a submission under par. (a), the manufacturer, importer, or distributor shall begin compensating the dealer based on the effective nonwarranty labor rate ... that is substantiated by the submission.</t>
        </is>
      </c>
      <c r="AE49" s="6" t="inlineStr">
        <is>
          <t>§ 218.0125(4m)(b)</t>
        </is>
      </c>
      <c r="AF49" s="6" t="inlineStr">
        <is>
          <t>Licensee may sue for pecuniary loss plus actual costs incl. reasonable attorney fees for violations of § 218.0116(1)(km), without exhausting administrative remedies; treble damages if willful.</t>
        </is>
      </c>
      <c r="AG49" s="6" t="inlineStr">
        <is>
          <t>License may be denied, suspended or revoked for a manufacturer, importer or distributor violating § 218.0125. DOT determinations or licensing actions on a warranty labor reimbursement complaint must rest on information the parties submit (Trans 139.06(9)).</t>
        </is>
      </c>
      <c r="AH49" s="6" t="inlineStr">
        <is>
          <t>Wis. Stat. §§ 218.0116(1)(km), 218.0163(1)(a), (1m)</t>
        </is>
      </c>
      <c r="AI49" s="6" t="inlineStr">
        <is>
          <t>Wis. Stat. § 218.0125; Wis. Stat. § 218.0116(1)(km) (license ground); Wis. Stat. § 218.0163 (civil damages)</t>
        </is>
      </c>
      <c r="AJ49" s="6" t="inlineStr">
        <is>
          <t>https://docs.legis.wisconsin.gov/statutes/statutes/218/i/0125</t>
        </is>
      </c>
      <c r="AK49" s="6" t="inlineStr">
        <is>
          <t>official</t>
        </is>
      </c>
      <c r="AL49" s="6" t="inlineStr">
        <is>
          <t>high</t>
        </is>
      </c>
      <c r="AM49" s="6" t="inlineStr">
        <is>
          <t>2026-10-06</t>
        </is>
      </c>
      <c r="AN49" s="6" t="inlineStr">
        <is>
          <t>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is>
      </c>
    </row>
    <row r="50">
      <c r="A50" s="6" t="inlineStr">
        <is>
          <t>WV</t>
        </is>
      </c>
      <c r="B50" s="6" t="inlineStr">
        <is>
          <t>West Virginia</t>
        </is>
      </c>
      <c r="C50" s="6" t="n">
        <v>30</v>
      </c>
      <c r="D50" s="6" t="inlineStr">
        <is>
          <t>Silent</t>
        </is>
      </c>
      <c r="E50" s="6" t="n">
        <v>30</v>
      </c>
      <c r="F50" s="6" t="inlineStr">
        <is>
          <t>after approval</t>
        </is>
      </c>
      <c r="G50" s="6" t="inlineStr"/>
      <c r="H50" s="6" t="inlineStr">
        <is>
          <t>No denial of an otherwise valid, properly submitted claim for clerical error or omission, incidental non-material processing failure, administrative technicality, technician certification level, or not subscribing to manufacturer training programs.</t>
        </is>
      </c>
      <c r="I50" s="6" t="inlineStr">
        <is>
          <t>Written notice of the grounds for disapproval.</t>
        </is>
      </c>
      <c r="J50" s="6" t="inlineStr">
        <is>
          <t>shall be paid by the manufacturer within 30 days after approval and shall be approved or disapproved by the manufacturer within 30 days after receipt. When any claim is disapproved, the dealer shall be notified in writing</t>
        </is>
      </c>
      <c r="K50" s="6" t="inlineStr">
        <is>
          <t>§ 17A-6A-8a(k)</t>
        </is>
      </c>
      <c r="L50" s="6" t="n">
        <v>12</v>
      </c>
      <c r="M50" s="6" t="inlineStr">
        <is>
          <t>Limit does not apply where a claim is fraudulent</t>
        </is>
      </c>
      <c r="N50" s="6" t="inlineStr">
        <is>
          <t>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is>
      </c>
      <c r="O50" s="6" t="inlineStr">
        <is>
          <t>Audit any dealer in this state for warranty parts or warranty service compensation ... more than 12 months after the claim for payment or reimbursement has been made by the dealer.</t>
        </is>
      </c>
      <c r="P50" s="6" t="inlineStr">
        <is>
          <t>§ 17A-6A-10(b)(19); § 17A-6A-8a(c), (k)</t>
        </is>
      </c>
      <c r="Q50" s="6" t="inlineStr">
        <is>
          <t>Demand (by dealer or manufacturer) not within 12 months of the last labor-rate declaration</t>
        </is>
      </c>
      <c r="R50" s="6" t="inlineStr">
        <is>
          <t>100 ROs or 90 days (dealer chooses); ROs &lt;= 180 days old</t>
        </is>
      </c>
      <c r="S50" s="6" t="inlineStr">
        <is>
          <t>Dealer's total labor sales / total hours that generated those sales</t>
        </is>
      </c>
      <c r="T50" s="6" t="inlineStr">
        <is>
          <t>Discounted / promotional; Routine maintenance; Tires; Prep / reconditioning; Other (see text)</t>
        </is>
      </c>
      <c r="U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V50" s="6" t="inlineStr">
        <is>
          <t>30 days following manufacturer's approval (submission deemed approved if not rebutted within 30 days)</t>
        </is>
      </c>
      <c r="W50" s="6" t="inlineStr">
        <is>
          <t>The average labor rate shall be determined by dividing the amount of the dealer's total labor sales by the number of total hours that generated those sales.</t>
        </is>
      </c>
      <c r="X50" s="6" t="inlineStr">
        <is>
          <t>§ 17A-6A-8a(d)-(f), (i)</t>
        </is>
      </c>
      <c r="Y50" s="6" t="n">
        <v>30</v>
      </c>
      <c r="Z50" s="6" t="inlineStr">
        <is>
          <t>Yes</t>
        </is>
      </c>
      <c r="AA50" s="6" t="inlineStr">
        <is>
          <t>Rate presumed reasonable; manufacturer must show it is (1) fraudulent or inaccurate, (2) not established per the section, or (3) unreasonable vs. all other same line-make dealers in an economically similar area of the state.</t>
        </is>
      </c>
      <c r="AB50" s="6" t="inlineStr">
        <is>
          <t>Written notice with specific reasons, full explanation and copies of all calculations; if based on accuracy/reasonableness, propose an adjusted rate within 30 days of submission.</t>
        </is>
      </c>
      <c r="AC50" s="6" t="inlineStr">
        <is>
          <t>Dealer civil action in circuit court of its county within 90 days after receiving the rebuttal/adjustment; manufacturer bears burden by preponderance</t>
        </is>
      </c>
      <c r="AD50" s="6" t="inlineStr">
        <is>
          <t>A manufacturer or distributor must approve or rebut the presumption by demonstrating that the submitted parts markup rate or labor rate is: (1) Fraudulent or inaccurate; (2) not established in accordance with this section; or (3) unreasonable</t>
        </is>
      </c>
      <c r="AE50" s="6" t="inlineStr">
        <is>
          <t>§ 17A-6A-8a(g)</t>
        </is>
      </c>
      <c r="AF50" s="6" t="inlineStr">
        <is>
          <t>Dealer action for damages and equitable relief; prevailing dealer may recover up to treble damages plus reasonable attorney's fees; declaratory judgment; dealer-association standing; injunction without bond.</t>
        </is>
      </c>
      <c r="AG50" s="6" t="inlineStr">
        <is>
          <t>None. Manufacturers are not licensed under ch. 17A art. 6 (§ 17A-6-3), and DMV license sanctions (§ 17A-6-18) contain no warranty ground. Art. 6A is enforced only by dealer civil action (§§ 17A-6A-16, -17).</t>
        </is>
      </c>
      <c r="AH50" s="6" t="inlineStr">
        <is>
          <t>W. Va. Code §§ 17A-6A-16, 17A-6A-17</t>
        </is>
      </c>
      <c r="AI50" s="6" t="inlineStr">
        <is>
          <t>W. Va. Code § 17A-6A-8a; W. Va. Code § 17A-6A-10(b)(19) (audit/chargeback); W. Va. Code §§ 17A-6A-16, -17 (remedies)</t>
        </is>
      </c>
      <c r="AJ50" s="6" t="inlineStr">
        <is>
          <t>https://code.wvlegislature.gov/17A-6A-8a/</t>
        </is>
      </c>
      <c r="AK50" s="6" t="inlineStr">
        <is>
          <t>official</t>
        </is>
      </c>
      <c r="AL50" s="6" t="inlineStr">
        <is>
          <t>high</t>
        </is>
      </c>
      <c r="AM50" s="6" t="inlineStr">
        <is>
          <t>2026-10-06</t>
        </is>
      </c>
      <c r="AN50" s="6" t="inlineStr">
        <is>
          <t>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Ch. 17A art. 6 licenses dealers, not manufacturers, and its sanctions (§ 17A-6-18) have no warranty ground. 91 CSR has no warranty, audit or chargeback rules.</t>
        </is>
      </c>
    </row>
    <row r="51">
      <c r="A51" s="6" t="inlineStr">
        <is>
          <t>WY</t>
        </is>
      </c>
      <c r="B51" s="6" t="inlineStr">
        <is>
          <t>Wyoming</t>
        </is>
      </c>
      <c r="C51" s="6" t="n">
        <v>30</v>
      </c>
      <c r="D51" s="6" t="inlineStr">
        <is>
          <t>Yes</t>
        </is>
      </c>
      <c r="E51" s="6" t="n">
        <v>30</v>
      </c>
      <c r="F51" s="6" t="inlineStr">
        <is>
          <t>after approval</t>
        </is>
      </c>
      <c r="G51" s="6" t="inlineStr"/>
      <c r="H51" s="6" t="inlineStr">
        <is>
          <t>Claim denied for a specific claim-processing requirement, clerical error or administrative technicality not questioning legitimacy may be resubmitted corrected (added 2025).</t>
        </is>
      </c>
      <c r="I51" s="6" t="inlineStr">
        <is>
          <t>Must be 'specifically disapproved in writing or through electronic communication' within 30 days.</t>
        </is>
      </c>
      <c r="J51" s="6" t="inlineStr">
        <is>
          <t>Any claim not specifically disapproved in writing or through electronic communication within thirty (30) days after receipt is construed to be approved and payment shall be made within thirty (30) days.</t>
        </is>
      </c>
      <c r="K51" s="6" t="inlineStr">
        <is>
          <t>§ 31-16-117(d)</t>
        </is>
      </c>
      <c r="L51" s="6" t="n">
        <v>12</v>
      </c>
      <c r="M51" s="6" t="inlineStr">
        <is>
          <t>4 years where manufacturer reasonably suspects fraud</t>
        </is>
      </c>
      <c r="N51" s="6" t="inlineStr">
        <is>
          <t>Chargeback for unsubstantiated or incorrect claims; fraudulent claims 'as otherwise provided by law'.</t>
        </is>
      </c>
      <c r="O51" s="6" t="inlineStr">
        <is>
          <t>The manufacturer may audit claims and charge the dealer for unsubstantiated or incorrect claims for a period of one (1) year following payment except where the manufacturer reasonably suspects fraud.</t>
        </is>
      </c>
      <c r="P51" s="6" t="inlineStr">
        <is>
          <t>§ 31-16-117(d)</t>
        </is>
      </c>
      <c r="Q51" s="6" t="inlineStr">
        <is>
          <t>Once every 12 months unless by mutual agreement</t>
        </is>
      </c>
      <c r="R51" s="6" t="inlineStr">
        <is>
          <t>100 ROs or 90 days (fewer of the two samples); ROs &lt;= 180 days old</t>
        </is>
      </c>
      <c r="S51" s="6" t="inlineStr">
        <is>
          <t>Total labor charged on the submitted qualified ROs / total number of hours worked on those ROs</t>
        </is>
      </c>
      <c r="T51" s="6" t="inlineStr">
        <is>
          <t>Discounted / promotional; Internal; Routine maintenance; Accessories; Prep / reconditioning; State inspections; Collision / body / glass; Warranty / recall; Other (see text)</t>
        </is>
      </c>
      <c r="U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V51" s="6" t="inlineStr">
        <is>
          <t>45 days after manufacturer receives the submission (or the additional ROs) if not contested</t>
        </is>
      </c>
      <c r="W51" s="6" t="inlineStr">
        <is>
          <t>A new vehicle dealer's hourly labor rate shall be calculated by dividing the total amount charged for labor for the qualified repair orders submitted ... by the total number of hours worked for the qualified repair orders.</t>
        </is>
      </c>
      <c r="X51" s="6" t="inlineStr">
        <is>
          <t>§ 31-16-117(f)-(h), (k), (o), (t)</t>
        </is>
      </c>
      <c r="Y51" s="6" t="n">
        <v>30</v>
      </c>
      <c r="Z51" s="6" t="inlineStr">
        <is>
          <t>Yes</t>
        </is>
      </c>
      <c r="AA51" s="6" t="inlineStr">
        <is>
          <t>Submitted rate is 'materially incomplete, materially inaccurate or materially unreasonable'.</t>
        </is>
      </c>
      <c r="AB51" s="6" t="inlineStr">
        <is>
          <t>Within 30 days: one-time request for ROs from 30 days before/after (dealer has 30 days to supply) if rate is substantially higher or lower than rate on record; or written contest explaining reasons, giving evidence and proposing an adjustment (notice cannot later be modified).</t>
        </is>
      </c>
      <c r="AC51" s="6" t="inlineStr">
        <is>
          <t>Mandatory mediation (60 days, extendable by mutual agreement), then dealer civil action within 60 days; manufacturer bears burden by preponderance</t>
        </is>
      </c>
      <c r="AD51" s="6" t="inlineStr">
        <is>
          <t>A new vehicle manufacturer may contest a new vehicle dealer's submitted rate by providing written notice to the dealer not later than thirty (30) days after receipt of the dealer's submission</t>
        </is>
      </c>
      <c r="AE51" s="6" t="inlineStr">
        <is>
          <t>§ 31-16-117(m)-(q)</t>
        </is>
      </c>
      <c r="AF51" s="6" t="inlineStr">
        <is>
          <t>Rate-dispute civil action after mediation (§ 31-16-117(q)); action for damages and equitable relief by a person injured for refusing to agree to a proposal that would violate the act (§ 31-16-107).</t>
        </is>
      </c>
      <c r="AG51" s="6" t="inlineStr">
        <is>
          <t>Misdemeanor: fine up to $750 and/or up to 6 months' imprisonment per violation (§ 31-16-112); department may deny/suspend/revoke/refuse to renew a license for knowing statutory violations (§ 31-16-103(c)(i); listed licensees include dealers and direct-sale/Wyoming-based manufacturers).</t>
        </is>
      </c>
      <c r="AH51" s="6" t="inlineStr">
        <is>
          <t>Wyo. Stat. Ann. §§ 31-16-107, 31-16-112, 31-16-103(c), 31-16-117(q)</t>
        </is>
      </c>
      <c r="AI51" s="6" t="inlineStr">
        <is>
          <t>Wyo. Stat. Ann. § 31-16-117; Wyo. Stat. Ann. § 31-16-112 (penalty); Wyo. Stat. Ann. § 31-16-103(c) (license sanctions); Wyo. Stat. Ann. § 31-16-124(g) (trailer exemption)</t>
        </is>
      </c>
      <c r="AJ51" s="6" t="inlineStr">
        <is>
          <t>https://wyoleg.gov/statutes/compress/title31.pdf (current Title 31) and enrolled act https://wyoleg.gov/2025/Enroll/SF0106.pdf</t>
        </is>
      </c>
      <c r="AK51" s="6" t="inlineStr">
        <is>
          <t>official</t>
        </is>
      </c>
      <c r="AL51" s="6" t="inlineStr">
        <is>
          <t>high</t>
        </is>
      </c>
      <c r="AM51" s="6" t="inlineStr">
        <is>
          <t>2026-09-25</t>
        </is>
      </c>
      <c r="AN51" s="6" t="inlineStr">
        <is>
          <t>(b)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is>
      </c>
    </row>
  </sheetData>
  <autoFilter ref="A1:AN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4" customWidth="1" min="3" max="3"/>
    <col width="9" customWidth="1" min="4" max="4"/>
    <col width="10" customWidth="1" min="5" max="5"/>
    <col width="12" customWidth="1" min="6" max="6"/>
    <col width="20" customWidth="1" min="7" max="7"/>
    <col width="30" customWidth="1" min="8" max="8"/>
    <col width="50" customWidth="1" min="9" max="9"/>
    <col width="40" customWidth="1" min="10" max="10"/>
    <col width="22" customWidth="1" min="11" max="11"/>
    <col width="40" customWidth="1" min="12" max="12"/>
  </cols>
  <sheetData>
    <row r="1" ht="32" customHeight="1">
      <c r="A1" s="4" t="inlineStr">
        <is>
          <t>State</t>
        </is>
      </c>
      <c r="B1" s="4" t="inlineStr">
        <is>
          <t>Name</t>
        </is>
      </c>
      <c r="C1" s="4" t="inlineStr">
        <is>
          <t>Sample rule</t>
        </is>
      </c>
      <c r="D1" s="4" t="inlineStr">
        <is>
          <t>RO count</t>
        </is>
      </c>
      <c r="E1" s="4" t="inlineStr">
        <is>
          <t>Day window</t>
        </is>
      </c>
      <c r="F1" s="4" t="inlineStr">
        <is>
          <t>Max RO age (days)</t>
        </is>
      </c>
      <c r="G1" s="4" t="inlineStr">
        <is>
          <t>Denominator</t>
        </is>
      </c>
      <c r="H1" s="4" t="inlineStr">
        <is>
          <t>Exclusion codes</t>
        </is>
      </c>
      <c r="I1" s="4" t="inlineStr">
        <is>
          <t>Exclusions (statute wording)</t>
        </is>
      </c>
      <c r="J1" s="4" t="inlineStr">
        <is>
          <t>Formula</t>
        </is>
      </c>
      <c r="K1" s="4" t="inlineStr">
        <is>
          <t>Resubmission frequency</t>
        </is>
      </c>
      <c r="L1" s="4" t="inlineStr">
        <is>
          <t>Note</t>
        </is>
      </c>
    </row>
    <row r="2">
      <c r="A2" s="6" t="inlineStr">
        <is>
          <t>AK</t>
        </is>
      </c>
      <c r="B2" s="6" t="inlineStr">
        <is>
          <t>Alaska</t>
        </is>
      </c>
      <c r="C2" s="6" t="inlineStr">
        <is>
          <t>no statutory labor sample</t>
        </is>
      </c>
      <c r="D2" s="6" t="inlineStr"/>
      <c r="E2" s="6" t="inlineStr"/>
      <c r="F2" s="6" t="inlineStr"/>
      <c r="G2" s="6" t="inlineStr">
        <is>
          <t>Hours billed</t>
        </is>
      </c>
      <c r="H2" s="6" t="inlineStr">
        <is>
          <t>DISCOUNT; MAINT; TIRES; RECON; INSURANCE; OTHER</t>
        </is>
      </c>
      <c r="I2" s="6" t="inlineStr">
        <is>
          <t>(f)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is>
      </c>
      <c r="J2" s="6" t="inlineStr"/>
      <c r="K2" s="6" t="inlineStr">
        <is>
          <t>not more than one rate increase in a calendar year</t>
        </is>
      </c>
      <c r="L2" s="6" t="inlineStr"/>
    </row>
    <row r="3">
      <c r="A3" s="6" t="inlineStr">
        <is>
          <t>AL</t>
        </is>
      </c>
      <c r="B3" s="6" t="inlineStr">
        <is>
          <t>Alabama</t>
        </is>
      </c>
      <c r="C3" s="6" t="inlineStr">
        <is>
          <t>fewer of the two samples</t>
        </is>
      </c>
      <c r="D3" s="6" t="n">
        <v>100</v>
      </c>
      <c r="E3" s="6" t="n">
        <v>90</v>
      </c>
      <c r="F3" s="6" t="n">
        <v>180</v>
      </c>
      <c r="G3" s="6" t="inlineStr">
        <is>
          <t>Hours billed</t>
        </is>
      </c>
      <c r="H3" s="6" t="inlineStr">
        <is>
          <t>DISCOUNT; INTERNAL; MAINT; ACCESS; TIRES; ALIGN; RECON; INSPECT; GOVT; BODY; INSURANCE; GOODWILL; OTHER</t>
        </is>
      </c>
      <c r="I3" s="6" t="inlineStr">
        <is>
          <t>(5)a.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is>
      </c>
      <c r="J3" s="6" t="inlineStr">
        <is>
          <t>total charges for labor from the qualified repairs submitted ÷ total number of hours that produced those charges</t>
        </is>
      </c>
      <c r="K3" s="6" t="inlineStr">
        <is>
          <t>not more frequently than once per 12-month period</t>
        </is>
      </c>
      <c r="L3" s="6" t="inlineStr"/>
    </row>
    <row r="4">
      <c r="A4" s="6" t="inlineStr">
        <is>
          <t>AR</t>
        </is>
      </c>
      <c r="B4" s="6" t="inlineStr">
        <is>
          <t>Arkansas</t>
        </is>
      </c>
      <c r="C4" s="6" t="inlineStr">
        <is>
          <t>fewer of the two samples</t>
        </is>
      </c>
      <c r="D4" s="6" t="n">
        <v>100</v>
      </c>
      <c r="E4" s="6" t="n">
        <v>90</v>
      </c>
      <c r="F4" s="6" t="n">
        <v>180</v>
      </c>
      <c r="G4" s="6" t="inlineStr">
        <is>
          <t>Hours billed</t>
        </is>
      </c>
      <c r="H4" s="6" t="inlineStr">
        <is>
          <t>MAINT; TIRES; OTHER</t>
        </is>
      </c>
      <c r="I4" s="6" t="inlineStr">
        <is>
          <t>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is>
      </c>
      <c r="J4" s="6" t="inlineStr">
        <is>
          <t>dealer's total labor sales from qualified ROs ÷ total labor hours that generated those labor charges</t>
        </is>
      </c>
      <c r="K4" s="6" t="inlineStr"/>
      <c r="L4" s="6" t="inlineStr"/>
    </row>
    <row r="5">
      <c r="A5" s="6" t="inlineStr">
        <is>
          <t>AZ</t>
        </is>
      </c>
      <c r="B5" s="6" t="inlineStr">
        <is>
          <t>Arizona</t>
        </is>
      </c>
      <c r="C5" s="6" t="inlineStr">
        <is>
          <t>fewer of the two samples</t>
        </is>
      </c>
      <c r="D5" s="6" t="n">
        <v>100</v>
      </c>
      <c r="E5" s="6" t="n">
        <v>90</v>
      </c>
      <c r="F5" s="6" t="n">
        <v>180</v>
      </c>
      <c r="G5" s="6" t="inlineStr">
        <is>
          <t>Hours billed</t>
        </is>
      </c>
      <c r="H5" s="6" t="inlineStr">
        <is>
          <t>DISCOUNT; ENGINE_TRANS; MAINT; RECON; OTHER</t>
        </is>
      </c>
      <c r="I5" s="6" t="inlineStr">
        <is>
          <t>(F)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is>
      </c>
      <c r="J5" s="6" t="inlineStr">
        <is>
          <t>dealer's total labor sales in the submitted ROs ÷ total labor hours that generated those sales</t>
        </is>
      </c>
      <c r="K5" s="6" t="inlineStr">
        <is>
          <t>not more than once in any twelve-month period</t>
        </is>
      </c>
      <c r="L5" s="6" t="inlineStr"/>
    </row>
    <row r="6">
      <c r="A6" s="6" t="inlineStr">
        <is>
          <t>CA</t>
        </is>
      </c>
      <c r="B6" s="6" t="inlineStr">
        <is>
          <t>California</t>
        </is>
      </c>
      <c r="C6" s="6" t="inlineStr">
        <is>
          <t>fewer of the two samples</t>
        </is>
      </c>
      <c r="D6" s="6" t="n">
        <v>100</v>
      </c>
      <c r="E6" s="6" t="n">
        <v>90</v>
      </c>
      <c r="F6" s="6" t="n">
        <v>180</v>
      </c>
      <c r="G6" s="6" t="inlineStr">
        <is>
          <t>Hours billed</t>
        </is>
      </c>
      <c r="H6" s="6" t="inlineStr">
        <is>
          <t>DISCOUNT; MAINT; RECON; ACCESS; BODY; INSURANCE; INSPECT; GOODWILL; GOVT; SVC_CONTRACT; TIRES; ALIGN; INTERNAL; OTHER</t>
        </is>
      </c>
      <c r="I6" s="6" t="inlineStr">
        <is>
          <t>(c)(1)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is>
      </c>
      <c r="J6" s="6" t="inlineStr">
        <is>
          <t>total charges for labor from the qualified ROs submitted ÷ total number of hours that generated those charges</t>
        </is>
      </c>
      <c r="K6" s="6" t="inlineStr">
        <is>
          <t>no more frequently than once per calendar year</t>
        </is>
      </c>
      <c r="L6" s="6" t="inlineStr"/>
    </row>
    <row r="7">
      <c r="A7" s="6" t="inlineStr">
        <is>
          <t>CO</t>
        </is>
      </c>
      <c r="B7" s="6" t="inlineStr">
        <is>
          <t>Colorado</t>
        </is>
      </c>
      <c r="C7" s="6" t="inlineStr">
        <is>
          <t>dealer chooses</t>
        </is>
      </c>
      <c r="D7" s="6" t="n">
        <v>100</v>
      </c>
      <c r="E7" s="6" t="n">
        <v>90</v>
      </c>
      <c r="F7" s="6" t="n">
        <v>90</v>
      </c>
      <c r="G7" s="6" t="inlineStr">
        <is>
          <t>Hours billed</t>
        </is>
      </c>
      <c r="H7" s="6" t="inlineStr">
        <is>
          <t>DISCOUNT; MAINT; TIRES; INTERNAL; RECON; GOODWILL; INSPECT; FLEET; GOVT; INSURANCE; OTHER</t>
        </is>
      </c>
      <c r="I7" s="6" t="inlineStr">
        <is>
          <t>(4)(c)(I)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is>
      </c>
      <c r="J7" s="6" t="inlineStr">
        <is>
          <t>total nonwarranty labor sales from the submitted nonwarranty repairs ÷ total labor hours that generated those sales</t>
        </is>
      </c>
      <c r="K7" s="6" t="inlineStr">
        <is>
          <t>increase requests not more often than once annually (labor and parts each)</t>
        </is>
      </c>
      <c r="L7" s="6" t="inlineStr"/>
    </row>
    <row r="8">
      <c r="A8" s="6" t="inlineStr">
        <is>
          <t>CT</t>
        </is>
      </c>
      <c r="B8" s="6" t="inlineStr">
        <is>
          <t>Connecticut</t>
        </is>
      </c>
      <c r="C8" s="6" t="inlineStr">
        <is>
          <t>prior calendar month</t>
        </is>
      </c>
      <c r="D8" s="6" t="inlineStr"/>
      <c r="E8" s="6" t="inlineStr"/>
      <c r="F8" s="6" t="inlineStr"/>
      <c r="G8" s="6" t="inlineStr">
        <is>
          <t>Hours billed</t>
        </is>
      </c>
      <c r="H8" s="6" t="inlineStr">
        <is>
          <t>DISCOUNT; ENGINE_TRANS; MAINT; TIRES; RECON; OTHER</t>
        </is>
      </c>
      <c r="I8" s="6" t="inlineStr">
        <is>
          <t>(d)(1)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is>
      </c>
      <c r="J8" s="6" t="inlineStr">
        <is>
          <t>dealer's total labor sales ÷ total labor hours that generated those sales</t>
        </is>
      </c>
      <c r="K8" s="6" t="inlineStr">
        <is>
          <t>not more than twice in one calendar year</t>
        </is>
      </c>
      <c r="L8" s="6" t="inlineStr"/>
    </row>
    <row r="9">
      <c r="A9" s="6" t="inlineStr">
        <is>
          <t>DE</t>
        </is>
      </c>
      <c r="B9" s="6" t="inlineStr">
        <is>
          <t>Delaware</t>
        </is>
      </c>
      <c r="C9" s="6" t="inlineStr">
        <is>
          <t>fewer of the two samples</t>
        </is>
      </c>
      <c r="D9" s="6" t="n">
        <v>100</v>
      </c>
      <c r="E9" s="6" t="n">
        <v>90</v>
      </c>
      <c r="F9" s="6" t="n">
        <v>180</v>
      </c>
      <c r="G9" s="6" t="inlineStr">
        <is>
          <t>Hours billed</t>
        </is>
      </c>
      <c r="H9" s="6" t="inlineStr">
        <is>
          <t>DISCOUNT; FLEET; INSURANCE; SVC_CONTRACT; GOVT; TIRES; MAINT; ALIGN; ENGINE_TRANS; RECON; OTHER</t>
        </is>
      </c>
      <c r="I9" s="6" t="inlineStr">
        <is>
          <t>(b)(2)a.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is>
      </c>
      <c r="J9" s="6" t="inlineStr"/>
      <c r="K9" s="6" t="inlineStr">
        <is>
          <t>not more than once every 9 months</t>
        </is>
      </c>
      <c r="L9" s="6" t="inlineStr"/>
    </row>
    <row r="10">
      <c r="A10" s="6" t="inlineStr">
        <is>
          <t>FL</t>
        </is>
      </c>
      <c r="B10" s="6" t="inlineStr">
        <is>
          <t>Florida</t>
        </is>
      </c>
      <c r="C10" s="6" t="inlineStr">
        <is>
          <t>prior calendar month</t>
        </is>
      </c>
      <c r="D10" s="6" t="inlineStr"/>
      <c r="E10" s="6" t="inlineStr"/>
      <c r="F10" s="6" t="inlineStr"/>
      <c r="G10" s="6" t="inlineStr">
        <is>
          <t>Hours billed</t>
        </is>
      </c>
      <c r="H10" s="6" t="inlineStr">
        <is>
          <t>INTERNAL; RECON; FLEET; INSURANCE; SVC_CONTRACT; GOVT; DISCOUNT; WARRANTY; OTHER</t>
        </is>
      </c>
      <c r="I10" s="6" t="inlineStr">
        <is>
          <t>(4)(c)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is>
      </c>
      <c r="J10" s="6" t="inlineStr">
        <is>
          <t>dealer's total labor sales for retail customer repairs ÷ total labor hours that generated those sales, for the month preceding the request (excluding the (4)(c) work)</t>
        </is>
      </c>
      <c r="K10" s="6" t="inlineStr">
        <is>
          <t>written requests for changes not more than semiannually</t>
        </is>
      </c>
      <c r="L10" s="6" t="inlineStr"/>
    </row>
    <row r="11">
      <c r="A11" s="6" t="inlineStr">
        <is>
          <t>GA</t>
        </is>
      </c>
      <c r="B11" s="6" t="inlineStr">
        <is>
          <t>Georgia</t>
        </is>
      </c>
      <c r="C11" s="6" t="inlineStr">
        <is>
          <t>fewer of the two samples</t>
        </is>
      </c>
      <c r="D11" s="6" t="n">
        <v>100</v>
      </c>
      <c r="E11" s="6" t="n">
        <v>90</v>
      </c>
      <c r="F11" s="6" t="n">
        <v>180</v>
      </c>
      <c r="G11" s="6" t="inlineStr">
        <is>
          <t>Hours billed</t>
        </is>
      </c>
      <c r="H11" s="6" t="inlineStr">
        <is>
          <t>DISCOUNT; MAINT; TIRES; RECON; OTHER</t>
        </is>
      </c>
      <c r="I11" s="6" t="inlineStr">
        <is>
          <t>(a)(2)(D)(i)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is>
      </c>
      <c r="J11" s="6" t="inlineStr">
        <is>
          <t>dealer's total labor sales from the submitted ROs ÷ total number of hours that generated those sales</t>
        </is>
      </c>
      <c r="K11" s="6" t="inlineStr">
        <is>
          <t>no dealer shall declare a retail rate for parts or labor or both more than once in one calendar year</t>
        </is>
      </c>
      <c r="L11" s="6" t="inlineStr"/>
    </row>
    <row r="12">
      <c r="A12" s="6" t="inlineStr">
        <is>
          <t>HI</t>
        </is>
      </c>
      <c r="B12" s="6" t="inlineStr">
        <is>
          <t>Hawaii</t>
        </is>
      </c>
      <c r="C12" s="6" t="inlineStr">
        <is>
          <t>no statutory labor sample</t>
        </is>
      </c>
      <c r="D12" s="6" t="inlineStr"/>
      <c r="E12" s="6" t="inlineStr"/>
      <c r="F12" s="6" t="inlineStr"/>
      <c r="G12" s="6" t="inlineStr">
        <is>
          <t>Hours billed</t>
        </is>
      </c>
      <c r="H12" s="6" t="inlineStr"/>
      <c r="I12" s="6" t="inlineStr">
        <is>
          <t>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is>
      </c>
      <c r="J12" s="6" t="inlineStr">
        <is>
          <t>No formula. Warranty labor rate per hour must equal the dealer's retail labor rate: not less than it, and not more than it</t>
        </is>
      </c>
      <c r="K12" s="6" t="inlineStr"/>
      <c r="L12" s="6" t="inlineStr"/>
    </row>
    <row r="13">
      <c r="A13" s="6" t="inlineStr">
        <is>
          <t>IA</t>
        </is>
      </c>
      <c r="B13" s="6" t="inlineStr">
        <is>
          <t>Iowa</t>
        </is>
      </c>
      <c r="C13" s="6" t="inlineStr">
        <is>
          <t>fewer of the two samples</t>
        </is>
      </c>
      <c r="D13" s="6" t="n">
        <v>100</v>
      </c>
      <c r="E13" s="6" t="n">
        <v>90</v>
      </c>
      <c r="F13" s="6" t="n">
        <v>180</v>
      </c>
      <c r="G13" s="6" t="inlineStr">
        <is>
          <t>Hours billed</t>
        </is>
      </c>
      <c r="H13" s="6" t="inlineStr">
        <is>
          <t>MAINT; TIRES</t>
        </is>
      </c>
      <c r="I13" s="6" t="inlineStr">
        <is>
          <t>Retail service orders, or portions of them, attributable to routine maintenance 'such as tire service or oil service'</t>
        </is>
      </c>
      <c r="J13" s="6" t="inlineStr">
        <is>
          <t>Total retail sales attributable to labor for warranty-like services / hours of labor spent to generate them</t>
        </is>
      </c>
      <c r="K13" s="6" t="inlineStr">
        <is>
          <t>Once in any one-year period</t>
        </is>
      </c>
      <c r="L13" s="6" t="inlineStr"/>
    </row>
    <row r="14">
      <c r="A14" s="6" t="inlineStr">
        <is>
          <t>ID</t>
        </is>
      </c>
      <c r="B14" s="6" t="inlineStr">
        <is>
          <t>Idaho</t>
        </is>
      </c>
      <c r="C14" s="6" t="inlineStr">
        <is>
          <t>fewer of the two samples</t>
        </is>
      </c>
      <c r="D14" s="6" t="n">
        <v>100</v>
      </c>
      <c r="E14" s="6" t="n">
        <v>90</v>
      </c>
      <c r="F14" s="6" t="n">
        <v>180</v>
      </c>
      <c r="G14" s="6" t="inlineStr">
        <is>
          <t>Hours billed</t>
        </is>
      </c>
      <c r="H14" s="6" t="inlineStr">
        <is>
          <t>DISCOUNT; INSURANCE; SVC_CONTRACT; INSPECT; FLEET; ENGINE_TRANS; MAINT; TIRES; RECON; OTHER</t>
        </is>
      </c>
      <c r="I14" s="6" t="inlineStr">
        <is>
          <t>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is>
      </c>
      <c r="J14" s="6" t="inlineStr"/>
      <c r="K14" s="6" t="inlineStr">
        <is>
          <t>Once every 12 months</t>
        </is>
      </c>
      <c r="L14" s="6" t="inlineStr"/>
    </row>
    <row r="15">
      <c r="A15" s="6" t="inlineStr">
        <is>
          <t>IL</t>
        </is>
      </c>
      <c r="B15" s="6" t="inlineStr">
        <is>
          <t>Illinois</t>
        </is>
      </c>
      <c r="C15" s="6" t="inlineStr">
        <is>
          <t>RO count only</t>
        </is>
      </c>
      <c r="D15" s="6" t="n">
        <v>100</v>
      </c>
      <c r="E15" s="6" t="inlineStr"/>
      <c r="F15" s="6" t="inlineStr"/>
      <c r="G15" s="6" t="inlineStr">
        <is>
          <t>Hours billed</t>
        </is>
      </c>
      <c r="H15" s="6" t="inlineStr">
        <is>
          <t>MAINT</t>
        </is>
      </c>
      <c r="I15" s="6" t="inlineStr">
        <is>
          <t>'less simple maintenance repair orders'</t>
        </is>
      </c>
      <c r="J15" s="6" t="inlineStr">
        <is>
          <t>The 'same effective labor rate' the dealer receives for customer-pay repairs, taken from the 100 sequential ROs. The statute does not spell out the arithmetic. Floor: never less than rates charged for like retail nonwarranty service</t>
        </is>
      </c>
      <c r="K15" s="6" t="inlineStr">
        <is>
          <t>Requests for warranty labor-rate increases at most once per calendar year</t>
        </is>
      </c>
      <c r="L15" s="6" t="inlineStr">
        <is>
          <t>Illinois: 100 sequential ROs chosen by the dealer, less simple-maintenance ROs. No day window or age limit stated.</t>
        </is>
      </c>
    </row>
    <row r="16">
      <c r="A16" s="6" t="inlineStr">
        <is>
          <t>IN</t>
        </is>
      </c>
      <c r="B16" s="6" t="inlineStr">
        <is>
          <t>Indiana</t>
        </is>
      </c>
      <c r="C16" s="6" t="inlineStr">
        <is>
          <t>dealer chooses</t>
        </is>
      </c>
      <c r="D16" s="6" t="n">
        <v>100</v>
      </c>
      <c r="E16" s="6" t="n">
        <v>90</v>
      </c>
      <c r="F16" s="6" t="n">
        <v>180</v>
      </c>
      <c r="G16" s="6" t="inlineStr">
        <is>
          <t>Hours billed</t>
        </is>
      </c>
      <c r="H16" s="6" t="inlineStr">
        <is>
          <t>DISCOUNT; MAINT; RECON; ACCESS; BODY; INSPECT; GOODWILL; TIRES; OTHER</t>
        </is>
      </c>
      <c r="I16" s="6" t="inlineStr">
        <is>
          <t>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is>
      </c>
      <c r="J16" s="6" t="inlineStr">
        <is>
          <t>Total labor sales for warranty-like repairs / number of hours that generated those sales</t>
        </is>
      </c>
      <c r="K16" s="6" t="inlineStr">
        <is>
          <t>One declaration of the parts markup or labor rate per 12-month period; the dealer may revert to the nonretail rate at most once per 12 months</t>
        </is>
      </c>
      <c r="L16" s="6" t="inlineStr">
        <is>
          <t>Indiana's labor sentence has no 'lesser of' language, so both samples are shown.</t>
        </is>
      </c>
    </row>
    <row r="17">
      <c r="A17" s="6" t="inlineStr">
        <is>
          <t>KS</t>
        </is>
      </c>
      <c r="B17" s="6" t="inlineStr">
        <is>
          <t>Kansas</t>
        </is>
      </c>
      <c r="C17" s="6" t="inlineStr">
        <is>
          <t>fewer of the two samples</t>
        </is>
      </c>
      <c r="D17" s="6" t="n">
        <v>100</v>
      </c>
      <c r="E17" s="6" t="n">
        <v>90</v>
      </c>
      <c r="F17" s="6" t="n">
        <v>180</v>
      </c>
      <c r="G17" s="6" t="inlineStr">
        <is>
          <t>Hours billed</t>
        </is>
      </c>
      <c r="H17" s="6" t="inlineStr">
        <is>
          <t>MAINT; TIRES</t>
        </is>
      </c>
      <c r="I17" s="6" t="inlineStr">
        <is>
          <t>Retail service orders, or portions of them, attributable to routine maintenance 'such as tire service or oil service'</t>
        </is>
      </c>
      <c r="J17" s="6" t="inlineStr">
        <is>
          <t>Total retail sales attributable to labor for warranty-like services / hours of labor spent to generate them</t>
        </is>
      </c>
      <c r="K17" s="6" t="inlineStr">
        <is>
          <t>Once in any one-year period</t>
        </is>
      </c>
      <c r="L17" s="6" t="inlineStr"/>
    </row>
    <row r="18">
      <c r="A18" s="6" t="inlineStr">
        <is>
          <t>KY</t>
        </is>
      </c>
      <c r="B18" s="6" t="inlineStr">
        <is>
          <t>Kentucky</t>
        </is>
      </c>
      <c r="C18" s="6" t="inlineStr">
        <is>
          <t>no statutory labor sample</t>
        </is>
      </c>
      <c r="D18" s="6" t="inlineStr"/>
      <c r="E18" s="6" t="inlineStr"/>
      <c r="F18" s="6" t="inlineStr"/>
      <c r="G18" s="6" t="inlineStr">
        <is>
          <t>Hours billed</t>
        </is>
      </c>
      <c r="H18" s="6" t="inlineStr"/>
      <c r="I18" s="6" t="inlineStr">
        <is>
          <t>None (no RO sample in statute)</t>
        </is>
      </c>
      <c r="J18" s="6" t="inlineStr">
        <is>
          <t>'Reasonable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is>
      </c>
      <c r="K18" s="6" t="inlineStr"/>
      <c r="L18" s="6" t="inlineStr"/>
    </row>
    <row r="19">
      <c r="A19" s="6" t="inlineStr">
        <is>
          <t>LA</t>
        </is>
      </c>
      <c r="B19" s="6" t="inlineStr">
        <is>
          <t>Louisiana</t>
        </is>
      </c>
      <c r="C19" s="6" t="inlineStr">
        <is>
          <t>fewer of the two samples</t>
        </is>
      </c>
      <c r="D19" s="6" t="n">
        <v>100</v>
      </c>
      <c r="E19" s="6" t="n">
        <v>90</v>
      </c>
      <c r="F19" s="6" t="n">
        <v>180</v>
      </c>
      <c r="G19" s="6" t="inlineStr">
        <is>
          <t>Hours billed</t>
        </is>
      </c>
      <c r="H19" s="6" t="inlineStr">
        <is>
          <t>DISCOUNT; OTHER; INTERNAL; MAINT; ACCESS; TIRES; ALIGN; RECON; INSPECT; GOVT; INSURANCE; SVC_CONTRACT; GOODWILL; BODY</t>
        </is>
      </c>
      <c r="I19" s="6" t="inlineStr">
        <is>
          <t>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is>
      </c>
      <c r="J19" s="6" t="inlineStr">
        <is>
          <t>Total labor charges from the qualifying repairs submitted / total hours that produced those charges</t>
        </is>
      </c>
      <c r="K19" s="6" t="inlineStr">
        <is>
          <t>Once in a twelve-month period (parts markup, labor rate, or both)</t>
        </is>
      </c>
      <c r="L19" s="6" t="inlineStr"/>
    </row>
    <row r="20">
      <c r="A20" s="6" t="inlineStr">
        <is>
          <t>MA</t>
        </is>
      </c>
      <c r="B20" s="6" t="inlineStr">
        <is>
          <t>Massachusetts</t>
        </is>
      </c>
      <c r="C20" s="6" t="inlineStr">
        <is>
          <t>fewer of the two samples</t>
        </is>
      </c>
      <c r="D20" s="6" t="n">
        <v>100</v>
      </c>
      <c r="E20" s="6" t="n">
        <v>60</v>
      </c>
      <c r="F20" s="6" t="n">
        <v>180</v>
      </c>
      <c r="G20" s="6" t="inlineStr">
        <is>
          <t>Hours billed</t>
        </is>
      </c>
      <c r="H20" s="6" t="inlineStr">
        <is>
          <t>MAINT; OTHER; TIRES; RECON</t>
        </is>
      </c>
      <c r="I20" s="6" t="inlineStr">
        <is>
          <t>(a)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is>
      </c>
      <c r="J20" s="6" t="inlineStr">
        <is>
          <t>dealer's total labor sales ÷ total labor hours that generated those sales</t>
        </is>
      </c>
      <c r="K20" s="6" t="inlineStr">
        <is>
          <t>once per calendar year</t>
        </is>
      </c>
      <c r="L20" s="6" t="inlineStr"/>
    </row>
    <row r="21">
      <c r="A21" s="6" t="inlineStr">
        <is>
          <t>MD</t>
        </is>
      </c>
      <c r="B21" s="6" t="inlineStr">
        <is>
          <t>Maryland</t>
        </is>
      </c>
      <c r="C21" s="6" t="inlineStr">
        <is>
          <t>fewer of the two samples</t>
        </is>
      </c>
      <c r="D21" s="6" t="n">
        <v>100</v>
      </c>
      <c r="E21" s="6" t="n">
        <v>90</v>
      </c>
      <c r="F21" s="6" t="n">
        <v>180</v>
      </c>
      <c r="G21" s="6" t="inlineStr">
        <is>
          <t>Hours billed</t>
        </is>
      </c>
      <c r="H21" s="6" t="inlineStr">
        <is>
          <t>ACCESS; DISCOUNT; BODY; INSPECT; INSURANCE; SVC_CONTRACT; MAINT; TIRES; RECON; GOODWILL; OTHER</t>
        </is>
      </c>
      <c r="I21" s="6" t="inlineStr">
        <is>
          <t>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is>
      </c>
      <c r="J21" s="6" t="inlineStr"/>
      <c r="K21" s="6" t="inlineStr">
        <is>
          <t>Not more than once in 1 year; a revision or supplement to correct or clarify is not a new submission</t>
        </is>
      </c>
      <c r="L21" s="6" t="inlineStr"/>
    </row>
    <row r="22">
      <c r="A22" s="6" t="inlineStr">
        <is>
          <t>ME</t>
        </is>
      </c>
      <c r="B22" s="6" t="inlineStr">
        <is>
          <t>Maine</t>
        </is>
      </c>
      <c r="C22" s="6" t="inlineStr">
        <is>
          <t>no statutory labor sample</t>
        </is>
      </c>
      <c r="D22" s="6" t="inlineStr"/>
      <c r="E22" s="6" t="inlineStr"/>
      <c r="F22" s="6" t="inlineStr"/>
      <c r="G22" s="6" t="inlineStr">
        <is>
          <t>Hours billed</t>
        </is>
      </c>
      <c r="H22" s="6" t="inlineStr"/>
      <c r="I22" s="6" t="inlineStr">
        <is>
          <t>None for labor. Parts-markup sample only: excludes warranty repairs, state inspection, routine maintenance such as oil and oil filter changes, and accessories</t>
        </is>
      </c>
      <c r="J22" s="6" t="inlineStr">
        <is>
          <t>Retail rate customarily charged by the dealer for the same labor when not performed under warranty, provided the nonwarranty labor rate is routinely posted in a place conspicuous to service customers</t>
        </is>
      </c>
      <c r="K22" s="6" t="inlineStr"/>
      <c r="L22" s="6" t="inlineStr"/>
    </row>
    <row r="23">
      <c r="A23" s="6" t="inlineStr">
        <is>
          <t>MI</t>
        </is>
      </c>
      <c r="B23" s="6" t="inlineStr">
        <is>
          <t>Michigan</t>
        </is>
      </c>
      <c r="C23" s="6" t="inlineStr">
        <is>
          <t>fewer of the two samples</t>
        </is>
      </c>
      <c r="D23" s="6" t="n">
        <v>100</v>
      </c>
      <c r="E23" s="6" t="n">
        <v>90</v>
      </c>
      <c r="F23" s="6" t="n">
        <v>180</v>
      </c>
      <c r="G23" s="6" t="inlineStr">
        <is>
          <t>Hours billed</t>
        </is>
      </c>
      <c r="H23" s="6" t="inlineStr">
        <is>
          <t>DISCOUNT; OTHER; MAINT; TIRES; RECON; ACCESS; BODY; INSPECT; GOODWILL; GOVT</t>
        </is>
      </c>
      <c r="I23" s="6" t="inlineStr">
        <is>
          <t>(a)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is>
      </c>
      <c r="J23" s="6" t="inlineStr">
        <is>
          <t>total labor sales from the submitted ROs ÷ total number of hours that generated those sales</t>
        </is>
      </c>
      <c r="K23" s="6" t="inlineStr">
        <is>
          <t>once per calendar year</t>
        </is>
      </c>
      <c r="L23" s="6" t="inlineStr"/>
    </row>
    <row r="24">
      <c r="A24" s="6" t="inlineStr">
        <is>
          <t>MN</t>
        </is>
      </c>
      <c r="B24" s="6" t="inlineStr">
        <is>
          <t>Minnesota</t>
        </is>
      </c>
      <c r="C24" s="6" t="inlineStr">
        <is>
          <t>fewer of the two samples</t>
        </is>
      </c>
      <c r="D24" s="6" t="n">
        <v>100</v>
      </c>
      <c r="E24" s="6" t="n">
        <v>90</v>
      </c>
      <c r="F24" s="6" t="n">
        <v>180</v>
      </c>
      <c r="G24" s="6" t="inlineStr">
        <is>
          <t>Hours billed</t>
        </is>
      </c>
      <c r="H24" s="6" t="inlineStr">
        <is>
          <t>DISCOUNT; OTHER; ENGINE_TRANS; MAINT; TIRES; RECON; ACCESS</t>
        </is>
      </c>
      <c r="I24" s="6" t="inlineStr">
        <is>
          <t>(1)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is>
      </c>
      <c r="J24" s="6" t="inlineStr">
        <is>
          <t>total customer labor charges for qualifying nonwarranty repairs in the submitted ROs ÷ total labor hours that generated those sales. Warranty pay = that rate × the dealer's own nonwarranty time guide (actual time if no guide exists), including all diagnostic time.</t>
        </is>
      </c>
      <c r="K24" s="6" t="inlineStr">
        <is>
          <t>once per year</t>
        </is>
      </c>
      <c r="L24" s="6" t="inlineStr"/>
    </row>
    <row r="25">
      <c r="A25" s="6" t="inlineStr">
        <is>
          <t>MO</t>
        </is>
      </c>
      <c r="B25" s="6" t="inlineStr">
        <is>
          <t>Missouri</t>
        </is>
      </c>
      <c r="C25" s="6" t="inlineStr">
        <is>
          <t>no statutory labor sample</t>
        </is>
      </c>
      <c r="D25" s="6" t="inlineStr"/>
      <c r="E25" s="6" t="inlineStr"/>
      <c r="F25" s="6" t="inlineStr"/>
      <c r="G25" s="6" t="inlineStr">
        <is>
          <t>Hours billed</t>
        </is>
      </c>
      <c r="H25" s="6" t="inlineStr">
        <is>
          <t>DISCOUNT; OTHER; ENGINE_TRANS; MAINT; TIRES; RECON</t>
        </is>
      </c>
      <c r="I25" s="6" t="inlineStr">
        <is>
          <t>(1)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is>
      </c>
      <c r="J25" s="6" t="inlineStr"/>
      <c r="K25" s="6" t="inlineStr">
        <is>
          <t>twice per calendar year (requests for a different labor rate or parts rate)</t>
        </is>
      </c>
      <c r="L25" s="6" t="inlineStr"/>
    </row>
    <row r="26">
      <c r="A26" s="6" t="inlineStr">
        <is>
          <t>MS</t>
        </is>
      </c>
      <c r="B26" s="6" t="inlineStr">
        <is>
          <t>Mississippi</t>
        </is>
      </c>
      <c r="C26" s="6" t="inlineStr">
        <is>
          <t>fewer of the two samples</t>
        </is>
      </c>
      <c r="D26" s="6" t="n">
        <v>100</v>
      </c>
      <c r="E26" s="6" t="n">
        <v>90</v>
      </c>
      <c r="F26" s="6" t="n">
        <v>180</v>
      </c>
      <c r="G26" s="6" t="inlineStr">
        <is>
          <t>Hours billed</t>
        </is>
      </c>
      <c r="H26" s="6" t="inlineStr">
        <is>
          <t>DISCOUNT; OTHER; INTERNAL; MAINT; ACCESS; TIRES; ALIGN; RECON; INSPECT; GOVT; INSURANCE; BODY; GOODWILL</t>
        </is>
      </c>
      <c r="I26" s="6" t="inlineStr">
        <is>
          <t>(a)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is>
      </c>
      <c r="J26" s="6" t="inlineStr">
        <is>
          <t>total charges for labor from the qualified repairs submitted ÷ total number of hours that produced those charges</t>
        </is>
      </c>
      <c r="K26" s="6" t="inlineStr">
        <is>
          <t>once per twelve-month period</t>
        </is>
      </c>
      <c r="L26" s="6" t="inlineStr"/>
    </row>
    <row r="27">
      <c r="A27" s="6" t="inlineStr">
        <is>
          <t>MT</t>
        </is>
      </c>
      <c r="B27" s="6" t="inlineStr">
        <is>
          <t>Montana</t>
        </is>
      </c>
      <c r="C27" s="6" t="inlineStr">
        <is>
          <t>fewer of the two samples</t>
        </is>
      </c>
      <c r="D27" s="6" t="n">
        <v>100</v>
      </c>
      <c r="E27" s="6" t="n">
        <v>90</v>
      </c>
      <c r="F27" s="6" t="n">
        <v>180</v>
      </c>
      <c r="G27" s="6" t="inlineStr">
        <is>
          <t>Hours billed</t>
        </is>
      </c>
      <c r="H27" s="6" t="inlineStr">
        <is>
          <t>MAINT; TIRES; ALIGN; GOVT; INSURANCE; SVC_CONTRACT; DISCOUNT; INTERNAL; ACCESS; BODY; INSPECT; RECON; OTHER; GOODWILL</t>
        </is>
      </c>
      <c r="I27" s="6" t="inlineStr">
        <is>
          <t>(A)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is>
      </c>
      <c r="J27" s="6" t="inlineStr">
        <is>
          <t>total charges for labor from the qualified repairs submitted ÷ total number of hours charged for those repairs</t>
        </is>
      </c>
      <c r="K27" s="6" t="inlineStr">
        <is>
          <t>once per 12-month period</t>
        </is>
      </c>
      <c r="L27" s="6" t="inlineStr"/>
    </row>
    <row r="28">
      <c r="A28" s="6" t="inlineStr">
        <is>
          <t>NC</t>
        </is>
      </c>
      <c r="B28" s="6" t="inlineStr">
        <is>
          <t>North Carolina</t>
        </is>
      </c>
      <c r="C28" s="6" t="inlineStr">
        <is>
          <t>fewer of the two samples</t>
        </is>
      </c>
      <c r="D28" s="6" t="n">
        <v>100</v>
      </c>
      <c r="E28" s="6" t="n">
        <v>60</v>
      </c>
      <c r="F28" s="6" t="n">
        <v>180</v>
      </c>
      <c r="G28" s="6" t="inlineStr">
        <is>
          <t>Hours billed</t>
        </is>
      </c>
      <c r="H28" s="6" t="inlineStr">
        <is>
          <t>DISCOUNT; INSURANCE; ENGINE_TRANS; MAINT; ALIGN; TIRES; RECON; OTHER</t>
        </is>
      </c>
      <c r="I28" s="6" t="inlineStr">
        <is>
          <t>(1)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is>
      </c>
      <c r="J28" s="6" t="inlineStr"/>
      <c r="K28" s="6" t="inlineStr"/>
      <c r="L28" s="6" t="inlineStr"/>
    </row>
    <row r="29">
      <c r="A29" s="6" t="inlineStr">
        <is>
          <t>ND</t>
        </is>
      </c>
      <c r="B29" s="6" t="inlineStr">
        <is>
          <t>North Dakota</t>
        </is>
      </c>
      <c r="C29" s="6" t="inlineStr">
        <is>
          <t>fewer of the two samples</t>
        </is>
      </c>
      <c r="D29" s="6" t="n">
        <v>100</v>
      </c>
      <c r="E29" s="6" t="n">
        <v>90</v>
      </c>
      <c r="F29" s="6" t="n">
        <v>180</v>
      </c>
      <c r="G29" s="6" t="inlineStr">
        <is>
          <t>Hours billed</t>
        </is>
      </c>
      <c r="H29" s="6" t="inlineStr">
        <is>
          <t>DISCOUNT; OTHER; MAINT; TIRES; RECON; ALIGN; INTERNAL; ACCESS</t>
        </is>
      </c>
      <c r="I29" s="6" t="inlineStr">
        <is>
          <t>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is>
      </c>
      <c r="J29" s="6" t="inlineStr">
        <is>
          <t>total labor sales ÷ total hours that generated those sales</t>
        </is>
      </c>
      <c r="K29" s="6" t="inlineStr">
        <is>
          <t>no demand within 12 months of the last labor-rate declaration (applies to dealer, manufacturer or distributor)</t>
        </is>
      </c>
      <c r="L29" s="6" t="inlineStr"/>
    </row>
    <row r="30">
      <c r="A30" s="6" t="inlineStr">
        <is>
          <t>NE</t>
        </is>
      </c>
      <c r="B30" s="6" t="inlineStr">
        <is>
          <t>Nebraska</t>
        </is>
      </c>
      <c r="C30" s="6" t="inlineStr">
        <is>
          <t>no statutory labor sample</t>
        </is>
      </c>
      <c r="D30" s="6" t="inlineStr"/>
      <c r="E30" s="6" t="inlineStr"/>
      <c r="F30" s="6" t="inlineStr"/>
      <c r="G30" s="6" t="inlineStr">
        <is>
          <t>Hours billed</t>
        </is>
      </c>
      <c r="H30" s="6" t="inlineStr">
        <is>
          <t>MAINT; TIRES; OTHER</t>
        </is>
      </c>
      <c r="I30" s="6" t="inlineStr">
        <is>
          <t>For prevailing wage rates, labor on the portion of ROs for 'all recommended maintenance services' is excluded, including oil, filters, any fluids, brake pads, brake discs, brake drums, spark plugs, wiper blades, tire repair, or tire replacement [brakes/spark plugs/wipers = MAINT/OTHER]</t>
        </is>
      </c>
      <c r="J30" s="6" t="inlineStr">
        <is>
          <t>No formula. The principal factor is 'the prevailing wage rates being paid by dealers in the community'. Floor: never less than the dealer's rates for like service to retail or fleet customers.</t>
        </is>
      </c>
      <c r="K30" s="6" t="inlineStr"/>
      <c r="L30" s="6" t="inlineStr"/>
    </row>
    <row r="31">
      <c r="A31" s="6" t="inlineStr">
        <is>
          <t>NH</t>
        </is>
      </c>
      <c r="B31" s="6" t="inlineStr">
        <is>
          <t>New Hampshire</t>
        </is>
      </c>
      <c r="C31" s="6" t="inlineStr">
        <is>
          <t>no statutory labor sample</t>
        </is>
      </c>
      <c r="D31" s="6" t="inlineStr"/>
      <c r="E31" s="6" t="inlineStr"/>
      <c r="F31" s="6" t="inlineStr"/>
      <c r="G31" s="6" t="inlineStr">
        <is>
          <t>Hours billed</t>
        </is>
      </c>
      <c r="H31" s="6" t="inlineStr"/>
      <c r="I31" s="6" t="inlineStr">
        <is>
          <t>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is>
      </c>
      <c r="J31" s="6" t="inlineStr">
        <is>
          <t>No formula. Floor: warranty pay not 'less than that charged by the dealer to the retail customers of the dealer for non-warranty work of like kind'.</t>
        </is>
      </c>
      <c r="K31" s="6" t="inlineStr">
        <is>
          <t>once per calendar year (average labor rate declaration)</t>
        </is>
      </c>
      <c r="L31" s="6" t="inlineStr"/>
    </row>
    <row r="32">
      <c r="A32" s="6" t="inlineStr">
        <is>
          <t>NJ</t>
        </is>
      </c>
      <c r="B32" s="6" t="inlineStr">
        <is>
          <t>New Jersey</t>
        </is>
      </c>
      <c r="C32" s="6" t="inlineStr">
        <is>
          <t>fewer of the two samples</t>
        </is>
      </c>
      <c r="D32" s="6" t="n">
        <v>100</v>
      </c>
      <c r="E32" s="6" t="n">
        <v>90</v>
      </c>
      <c r="F32" s="6" t="n">
        <v>180</v>
      </c>
      <c r="G32" s="6" t="inlineStr">
        <is>
          <t>Hours billed</t>
        </is>
      </c>
      <c r="H32" s="6" t="inlineStr">
        <is>
          <t>DISCOUNT; OTHER; MAINT; RECON; ACCESS; BODY; INSURANCE; INSPECT; GOODWILL; GOVT; TIRES; ALIGN; INTERNAL</t>
        </is>
      </c>
      <c r="I32" s="6" t="inlineStr">
        <is>
          <t>(j)(3):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is>
      </c>
      <c r="J32" s="6" t="inlineStr">
        <is>
          <t>total labor charges in the sample × 1.0 ÷ total labor hours in the sample</t>
        </is>
      </c>
      <c r="K32" s="6" t="inlineStr">
        <is>
          <t>no more than twice per calendar year. The cap is written jointly for requests to change the parts markup, labor time allowance, or retail labor rate.</t>
        </is>
      </c>
      <c r="L32" s="6" t="inlineStr">
        <is>
          <t>New Jersey also allows an optional labor-time multiplier: customer-billed hours ÷ OEM hours for the same sampled repairs, applied to OEM warranty times.</t>
        </is>
      </c>
    </row>
    <row r="33">
      <c r="A33" s="6" t="inlineStr">
        <is>
          <t>NM</t>
        </is>
      </c>
      <c r="B33" s="6" t="inlineStr">
        <is>
          <t>New Mexico</t>
        </is>
      </c>
      <c r="C33" s="6" t="inlineStr">
        <is>
          <t>fewer of the two samples</t>
        </is>
      </c>
      <c r="D33" s="6" t="n">
        <v>100</v>
      </c>
      <c r="E33" s="6" t="n">
        <v>90</v>
      </c>
      <c r="F33" s="6" t="n">
        <v>180</v>
      </c>
      <c r="G33" s="6" t="inlineStr">
        <is>
          <t>Hours billed</t>
        </is>
      </c>
      <c r="H33" s="6" t="inlineStr"/>
      <c r="I33" s="6" t="inlineStr">
        <is>
          <t>None listed in § 57-16-7.</t>
        </is>
      </c>
      <c r="J33" s="6" t="inlineStr"/>
      <c r="K33" s="6" t="inlineStr">
        <is>
          <t>increase granted no more than twice in one calendar year</t>
        </is>
      </c>
      <c r="L33" s="6" t="inlineStr"/>
    </row>
    <row r="34">
      <c r="A34" s="6" t="inlineStr">
        <is>
          <t>NV</t>
        </is>
      </c>
      <c r="B34" s="6" t="inlineStr">
        <is>
          <t>Nevada</t>
        </is>
      </c>
      <c r="C34" s="6" t="inlineStr">
        <is>
          <t>no statutory labor sample</t>
        </is>
      </c>
      <c r="D34" s="6" t="inlineStr"/>
      <c r="E34" s="6" t="inlineStr"/>
      <c r="F34" s="6" t="inlineStr"/>
      <c r="G34" s="6" t="inlineStr">
        <is>
          <t>Hours billed</t>
        </is>
      </c>
      <c r="H34" s="6" t="inlineStr"/>
      <c r="I34" s="6" t="inlineStr">
        <is>
          <t>None listed. The parity rule does not apply to residential (nonvehicular) components of motor homes and RVs.</t>
        </is>
      </c>
      <c r="J34" s="6" t="inlineStr">
        <is>
          <t>No submission procedure or formula. Floor only: warranty and recall parts and labor pay must not be less than the amount charged to retail customers for nonwarranty parts and labor.</t>
        </is>
      </c>
      <c r="K34" s="6" t="inlineStr"/>
      <c r="L34" s="6" t="inlineStr"/>
    </row>
    <row r="35">
      <c r="A35" s="6" t="inlineStr">
        <is>
          <t>NY</t>
        </is>
      </c>
      <c r="B35" s="6" t="inlineStr">
        <is>
          <t>New York</t>
        </is>
      </c>
      <c r="C35" s="6" t="inlineStr">
        <is>
          <t>fewer of the two samples</t>
        </is>
      </c>
      <c r="D35" s="6" t="n">
        <v>100</v>
      </c>
      <c r="E35" s="6" t="n">
        <v>90</v>
      </c>
      <c r="F35" s="6" t="n">
        <v>180</v>
      </c>
      <c r="G35" s="6" t="inlineStr">
        <is>
          <t>Hours billed</t>
        </is>
      </c>
      <c r="H35" s="6" t="inlineStr">
        <is>
          <t>OTHER; TIRES; MAINT; RECON</t>
        </is>
      </c>
      <c r="I35" s="6" t="inlineStr">
        <is>
          <t>(a) parts sold at wholesale [OTHER]; (b) tires; (c) routine maintenance not covered under any retail customer warranty such as fluids, filters and belts not provided in the course of repairs; (d) vehicle reconditioning; (e) batteries replaced as part of a routine maintenance operation [MAINT]</t>
        </is>
      </c>
      <c r="J35" s="6" t="inlineStr"/>
      <c r="K35" s="6" t="inlineStr">
        <is>
          <t>dealer may not request a change more than once each calendar year</t>
        </is>
      </c>
      <c r="L35" s="6" t="inlineStr"/>
    </row>
    <row r="36">
      <c r="A36" s="6" t="inlineStr">
        <is>
          <t>OH</t>
        </is>
      </c>
      <c r="B36" s="6" t="inlineStr">
        <is>
          <t>Ohio</t>
        </is>
      </c>
      <c r="C36" s="6" t="inlineStr">
        <is>
          <t>dealer chooses</t>
        </is>
      </c>
      <c r="D36" s="6" t="n">
        <v>100</v>
      </c>
      <c r="E36" s="6" t="n">
        <v>90</v>
      </c>
      <c r="F36" s="6" t="n">
        <v>180</v>
      </c>
      <c r="G36" s="6" t="inlineStr">
        <is>
          <t>Hours billed</t>
        </is>
      </c>
      <c r="H36" s="6" t="inlineStr">
        <is>
          <t>DISCOUNT; OTHER; MAINT; RECON; ACCESS; BODY; INSURANCE; INSPECT; GOODWILL; GOVT; TIRES</t>
        </is>
      </c>
      <c r="I36" s="6" t="inlineStr">
        <is>
          <t>(a)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is>
      </c>
      <c r="J36" s="6" t="inlineStr">
        <is>
          <t>total labor sales from submitted ROs ÷ total labor hours that generated those sales</t>
        </is>
      </c>
      <c r="K36" s="6" t="inlineStr">
        <is>
          <t>not more than once per calendar year</t>
        </is>
      </c>
      <c r="L36" s="6" t="inlineStr"/>
    </row>
    <row r="37">
      <c r="A37" s="6" t="inlineStr">
        <is>
          <t>OK</t>
        </is>
      </c>
      <c r="B37" s="6" t="inlineStr">
        <is>
          <t>Oklahoma</t>
        </is>
      </c>
      <c r="C37" s="6" t="inlineStr">
        <is>
          <t>fewer of the two samples</t>
        </is>
      </c>
      <c r="D37" s="6" t="n">
        <v>100</v>
      </c>
      <c r="E37" s="6" t="n">
        <v>90</v>
      </c>
      <c r="F37" s="6" t="n">
        <v>180</v>
      </c>
      <c r="G37" s="6" t="inlineStr">
        <is>
          <t>Hours billed</t>
        </is>
      </c>
      <c r="H37" s="6" t="inlineStr">
        <is>
          <t>MAINT; DISCOUNT; OTHER; GOODWILL; TIRES; ALIGN; INTERNAL; RECON</t>
        </is>
      </c>
      <c r="I37" s="6" t="inlineStr">
        <is>
          <t>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is>
      </c>
      <c r="J37" s="6" t="inlineStr">
        <is>
          <t>total labor sales from qualified ROs ÷ total labor hours charged for those sales</t>
        </is>
      </c>
      <c r="K37" s="6" t="inlineStr">
        <is>
          <t>dealer: once in a 12-month period; manufacturer may require validation ROs not more often than once every 12 months</t>
        </is>
      </c>
      <c r="L37" s="6" t="inlineStr"/>
    </row>
    <row r="38">
      <c r="A38" s="6" t="inlineStr">
        <is>
          <t>OR</t>
        </is>
      </c>
      <c r="B38" s="6" t="inlineStr">
        <is>
          <t>Oregon</t>
        </is>
      </c>
      <c r="C38" s="6" t="inlineStr">
        <is>
          <t>fewer of the two samples</t>
        </is>
      </c>
      <c r="D38" s="6" t="n">
        <v>100</v>
      </c>
      <c r="E38" s="6" t="n">
        <v>90</v>
      </c>
      <c r="F38" s="6" t="n">
        <v>180</v>
      </c>
      <c r="G38" s="6" t="inlineStr">
        <is>
          <t>Hours billed</t>
        </is>
      </c>
      <c r="H38" s="6" t="inlineStr">
        <is>
          <t>DISCOUNT; OTHER; MAINT; RECON</t>
        </is>
      </c>
      <c r="I38" s="6" t="inlineStr">
        <is>
          <t>(i)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is>
      </c>
      <c r="J38" s="6" t="inlineStr"/>
      <c r="K38" s="6" t="inlineStr">
        <is>
          <t>Franchises entered or renewed on or after 1/1/2026: 'Not more than once per year' the manufacturer may verify and the dealer may propose an increase. Pre-2026 text: only the manufacturer's verification is limited to once per year.</t>
        </is>
      </c>
      <c r="L38" s="6" t="inlineStr"/>
    </row>
    <row r="39">
      <c r="A39" s="6" t="inlineStr">
        <is>
          <t>PA</t>
        </is>
      </c>
      <c r="B39" s="6" t="inlineStr">
        <is>
          <t>Pennsylvania</t>
        </is>
      </c>
      <c r="C39" s="6" t="inlineStr">
        <is>
          <t>fewer of the two samples</t>
        </is>
      </c>
      <c r="D39" s="6" t="n">
        <v>100</v>
      </c>
      <c r="E39" s="6" t="n">
        <v>90</v>
      </c>
      <c r="F39" s="6" t="n">
        <v>180</v>
      </c>
      <c r="G39" s="6" t="inlineStr">
        <is>
          <t>Hours billed</t>
        </is>
      </c>
      <c r="H39" s="6" t="inlineStr">
        <is>
          <t>DISCOUNT; OTHER; MAINT; TIRES; RECON</t>
        </is>
      </c>
      <c r="I39" s="6" t="inlineStr">
        <is>
          <t>(1)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is>
      </c>
      <c r="J39" s="6" t="inlineStr">
        <is>
          <t>total labor sales ÷ total labor hours that generated the sales</t>
        </is>
      </c>
      <c r="K39" s="6" t="inlineStr">
        <is>
          <t>no more than once in one calendar year</t>
        </is>
      </c>
      <c r="L39" s="6" t="inlineStr"/>
    </row>
    <row r="40">
      <c r="A40" s="6" t="inlineStr">
        <is>
          <t>RI</t>
        </is>
      </c>
      <c r="B40" s="6" t="inlineStr">
        <is>
          <t>Rhode Island</t>
        </is>
      </c>
      <c r="C40" s="6" t="inlineStr">
        <is>
          <t>prior calendar month</t>
        </is>
      </c>
      <c r="D40" s="6" t="inlineStr"/>
      <c r="E40" s="6" t="inlineStr"/>
      <c r="F40" s="6" t="inlineStr"/>
      <c r="G40" s="6" t="inlineStr">
        <is>
          <t>Hours billed</t>
        </is>
      </c>
      <c r="H40" s="6" t="inlineStr">
        <is>
          <t>DISCOUNT; OTHER; ENGINE_TRANS; MAINT; TIRES; RECON</t>
        </is>
      </c>
      <c r="I40" s="6" t="inlineStr">
        <is>
          <t>(1)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is>
      </c>
      <c r="J40" s="6" t="inlineStr">
        <is>
          <t>total labor sales ÷ total labor hours that generated those sales</t>
        </is>
      </c>
      <c r="K40" s="6" t="inlineStr">
        <is>
          <t>no more than twice in one calendar year</t>
        </is>
      </c>
      <c r="L40" s="6" t="inlineStr"/>
    </row>
    <row r="41">
      <c r="A41" s="6" t="inlineStr">
        <is>
          <t>SC</t>
        </is>
      </c>
      <c r="B41" s="6" t="inlineStr">
        <is>
          <t>South Carolina</t>
        </is>
      </c>
      <c r="C41" s="6" t="inlineStr">
        <is>
          <t>fewer of the two samples</t>
        </is>
      </c>
      <c r="D41" s="6" t="n">
        <v>100</v>
      </c>
      <c r="E41" s="6" t="n">
        <v>90</v>
      </c>
      <c r="F41" s="6" t="n">
        <v>180</v>
      </c>
      <c r="G41" s="6" t="inlineStr">
        <is>
          <t>Hours billed</t>
        </is>
      </c>
      <c r="H41" s="6" t="inlineStr">
        <is>
          <t>INTERNAL; DISCOUNT; OTHER; GOVT; INSURANCE; TIRES; MAINT; ALIGN</t>
        </is>
      </c>
      <c r="I41" s="6" t="inlineStr">
        <is>
          <t>(i)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is>
      </c>
      <c r="J41" s="6" t="inlineStr">
        <is>
          <t>retail sales attributable to labor for warranty-like services ÷ hours of labor spent to generate those sales</t>
        </is>
      </c>
      <c r="K41" s="6" t="inlineStr">
        <is>
          <t>not more than once in any 12-month period</t>
        </is>
      </c>
      <c r="L41" s="6" t="inlineStr"/>
    </row>
    <row r="42">
      <c r="A42" s="6" t="inlineStr">
        <is>
          <t>SD</t>
        </is>
      </c>
      <c r="B42" s="6" t="inlineStr">
        <is>
          <t>South Dakota</t>
        </is>
      </c>
      <c r="C42" s="6" t="inlineStr">
        <is>
          <t>no statutory labor sample</t>
        </is>
      </c>
      <c r="D42" s="6" t="inlineStr"/>
      <c r="E42" s="6" t="inlineStr"/>
      <c r="F42" s="6" t="inlineStr"/>
      <c r="G42" s="6" t="inlineStr">
        <is>
          <t>Hours billed</t>
        </is>
      </c>
      <c r="H42" s="6" t="inlineStr"/>
      <c r="I42" s="6" t="inlineStr">
        <is>
          <t>None listed.</t>
        </is>
      </c>
      <c r="J42" s="6" t="inlineStr"/>
      <c r="K42" s="6" t="inlineStr"/>
      <c r="L42" s="6" t="inlineStr"/>
    </row>
    <row r="43">
      <c r="A43" s="6" t="inlineStr">
        <is>
          <t>TN</t>
        </is>
      </c>
      <c r="B43" s="6" t="inlineStr">
        <is>
          <t>Tennessee</t>
        </is>
      </c>
      <c r="C43" s="6" t="inlineStr">
        <is>
          <t>no statutory labor sample</t>
        </is>
      </c>
      <c r="D43" s="6" t="inlineStr"/>
      <c r="E43" s="6" t="inlineStr"/>
      <c r="F43" s="6" t="inlineStr"/>
      <c r="G43" s="6" t="inlineStr">
        <is>
          <t>Hours billed</t>
        </is>
      </c>
      <c r="H43" s="6" t="inlineStr"/>
      <c r="I43" s="6" t="inlineStr">
        <is>
          <t>None for labor. Parts-markup sample only: 'routine maintenance such as tire service or oil service'.</t>
        </is>
      </c>
      <c r="J43" s="6" t="inlineStr"/>
      <c r="K43" s="6" t="inlineStr"/>
      <c r="L43" s="6" t="inlineStr"/>
    </row>
    <row r="44">
      <c r="A44" s="6" t="inlineStr">
        <is>
          <t>TX</t>
        </is>
      </c>
      <c r="B44" s="6" t="inlineStr">
        <is>
          <t>Texas</t>
        </is>
      </c>
      <c r="C44" s="6" t="inlineStr">
        <is>
          <t>sample with the higher rate</t>
        </is>
      </c>
      <c r="D44" s="6" t="n">
        <v>100</v>
      </c>
      <c r="E44" s="6" t="n">
        <v>90</v>
      </c>
      <c r="F44" s="6" t="n">
        <v>180</v>
      </c>
      <c r="G44" s="6" t="inlineStr">
        <is>
          <t>Hours billed</t>
        </is>
      </c>
      <c r="H44" s="6" t="inlineStr">
        <is>
          <t>MAINT</t>
        </is>
      </c>
      <c r="I44" s="6" t="inlineStr">
        <is>
          <t>'exclusive of routine maintenance'</t>
        </is>
      </c>
      <c r="J44" s="6" t="inlineStr">
        <is>
          <t>Average labor rate charged on nonwarranty repairs, exclusive of routine maintenance (averaging method not defined)</t>
        </is>
      </c>
      <c r="K44" s="6" t="inlineStr">
        <is>
          <t>Once a year, except by agreement of the parties</t>
        </is>
      </c>
      <c r="L44" s="6" t="inlineStr">
        <is>
          <t>Texas uses the GREATER rate of the two samples, both from the preceding six months.</t>
        </is>
      </c>
    </row>
    <row r="45">
      <c r="A45" s="6" t="inlineStr">
        <is>
          <t>UT</t>
        </is>
      </c>
      <c r="B45" s="6" t="inlineStr">
        <is>
          <t>Utah</t>
        </is>
      </c>
      <c r="C45" s="6" t="inlineStr">
        <is>
          <t>fewer of the two samples</t>
        </is>
      </c>
      <c r="D45" s="6" t="n">
        <v>100</v>
      </c>
      <c r="E45" s="6" t="n">
        <v>90</v>
      </c>
      <c r="F45" s="6" t="n">
        <v>180</v>
      </c>
      <c r="G45" s="6" t="inlineStr">
        <is>
          <t>Hours billed</t>
        </is>
      </c>
      <c r="H45" s="6" t="inlineStr">
        <is>
          <t>MAINT; TIRES; ALIGN; GOVT; INSURANCE; SVC_CONTRACT; DISCOUNT; INTERNAL; ACCESS; INSPECT; RECON; GOODWILL; WARRANTY; OTHER</t>
        </is>
      </c>
      <c r="I45" s="6" t="inlineStr">
        <is>
          <t>(A)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is>
      </c>
      <c r="J45" s="6" t="inlineStr">
        <is>
          <t>Total labor charges in the submitted qualified repairs / total hours in those qualified repairs</t>
        </is>
      </c>
      <c r="K45" s="6" t="inlineStr">
        <is>
          <t>Once in a 12-month period (labor rate and parts markup each)</t>
        </is>
      </c>
      <c r="L45" s="6" t="inlineStr"/>
    </row>
    <row r="46">
      <c r="A46" s="6" t="inlineStr">
        <is>
          <t>VA</t>
        </is>
      </c>
      <c r="B46" s="6" t="inlineStr">
        <is>
          <t>Virginia</t>
        </is>
      </c>
      <c r="C46" s="6" t="inlineStr">
        <is>
          <t>fewer of the two samples</t>
        </is>
      </c>
      <c r="D46" s="6" t="n">
        <v>100</v>
      </c>
      <c r="E46" s="6" t="n">
        <v>90</v>
      </c>
      <c r="F46" s="6" t="inlineStr"/>
      <c r="G46" s="6" t="inlineStr">
        <is>
          <t>Hours billed</t>
        </is>
      </c>
      <c r="H46" s="6" t="inlineStr">
        <is>
          <t>DISCOUNT; INTERNAL; INSURANCE</t>
        </is>
      </c>
      <c r="I46" s="6" t="inlineStr">
        <is>
          <t>'retail' does not include menu-priced parts or services, services and parts used in internal repairs paid by the dealer, group discounts, special event discounts, special event promotions, and insurance-paid repairs; non-retail portions of mixed ROs excluded.</t>
        </is>
      </c>
      <c r="J46" s="6" t="inlineStr"/>
      <c r="K46" s="6" t="inlineStr"/>
      <c r="L46" s="6" t="inlineStr">
        <is>
          <t>Virginia says 'whichever occurs first'; treated here as the smaller sample. No RO age limit is stated.</t>
        </is>
      </c>
    </row>
    <row r="47">
      <c r="A47" s="6" t="inlineStr">
        <is>
          <t>VT</t>
        </is>
      </c>
      <c r="B47" s="6" t="inlineStr">
        <is>
          <t>Vermont</t>
        </is>
      </c>
      <c r="C47" s="6" t="inlineStr">
        <is>
          <t>no statutory labor sample</t>
        </is>
      </c>
      <c r="D47" s="6" t="inlineStr"/>
      <c r="E47" s="6" t="inlineStr"/>
      <c r="F47" s="6" t="inlineStr"/>
      <c r="G47" s="6" t="inlineStr">
        <is>
          <t>Hours billed</t>
        </is>
      </c>
      <c r="H47" s="6" t="inlineStr"/>
      <c r="I47" s="6" t="inlineStr">
        <is>
          <t>None for labor. Parts-markup sample only excludes warranty repairs, state inspection, routine maintenance such as oil and oil filter changes, and accessories.</t>
        </is>
      </c>
      <c r="J47" s="6" t="inlineStr"/>
      <c r="K47" s="6" t="inlineStr"/>
      <c r="L47" s="6" t="inlineStr"/>
    </row>
    <row r="48">
      <c r="A48" s="6" t="inlineStr">
        <is>
          <t>WA</t>
        </is>
      </c>
      <c r="B48" s="6" t="inlineStr">
        <is>
          <t>Washington</t>
        </is>
      </c>
      <c r="C48" s="6" t="inlineStr">
        <is>
          <t>no statutory labor sample</t>
        </is>
      </c>
      <c r="D48" s="6" t="inlineStr"/>
      <c r="E48" s="6" t="inlineStr"/>
      <c r="F48" s="6" t="inlineStr"/>
      <c r="G48" s="6" t="inlineStr">
        <is>
          <t>Hours billed</t>
        </is>
      </c>
      <c r="H48" s="6" t="inlineStr">
        <is>
          <t>DISCOUNT; INSURANCE; MAINT; TIRES; RECON; OTHER</t>
        </is>
      </c>
      <c r="I48" s="6" t="inlineStr">
        <is>
          <t>(i)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is>
      </c>
      <c r="J48" s="6" t="inlineStr"/>
      <c r="K48" s="6" t="inlineStr">
        <is>
          <t>One increase per calendar year (labor/diagnostic rate and parts markup each)</t>
        </is>
      </c>
      <c r="L48" s="6" t="inlineStr"/>
    </row>
    <row r="49">
      <c r="A49" s="6" t="inlineStr">
        <is>
          <t>WI</t>
        </is>
      </c>
      <c r="B49" s="6" t="inlineStr">
        <is>
          <t>Wisconsin</t>
        </is>
      </c>
      <c r="C49" s="6" t="inlineStr">
        <is>
          <t>fewer of the two samples</t>
        </is>
      </c>
      <c r="D49" s="6" t="n">
        <v>100</v>
      </c>
      <c r="E49" s="6" t="n">
        <v>90</v>
      </c>
      <c r="F49" s="6" t="n">
        <v>180</v>
      </c>
      <c r="G49" s="6" t="inlineStr">
        <is>
          <t>OEM time-allowance hours</t>
        </is>
      </c>
      <c r="H49" s="6" t="inlineStr">
        <is>
          <t>MAINT; WARRANTY</t>
        </is>
      </c>
      <c r="I49" s="6" t="inlineStr">
        <is>
          <t>Qualifying nonwarranty repairs 'does not include routine maintenance'; warranty repairs excluded by definition.</t>
        </is>
      </c>
      <c r="J49" s="6" t="inlineStr">
        <is>
          <t>Total customer labor charges for qualifying nonwarranty repairs / total hours the manufacturer's warranty time allowances would allow for those repairs (OEM-hour denominator); pay = effective rate x warranty time allowance</t>
        </is>
      </c>
      <c r="K49" s="6" t="inlineStr"/>
      <c r="L49" s="6" t="inlineStr">
        <is>
          <t>Wisconsin divides customer labor charges by the hours the manufacturer's warranty time allowances would allow for the same repairs, so each sampled RO needs its OEM hours.</t>
        </is>
      </c>
    </row>
    <row r="50">
      <c r="A50" s="6" t="inlineStr">
        <is>
          <t>WV</t>
        </is>
      </c>
      <c r="B50" s="6" t="inlineStr">
        <is>
          <t>West Virginia</t>
        </is>
      </c>
      <c r="C50" s="6" t="inlineStr">
        <is>
          <t>dealer chooses</t>
        </is>
      </c>
      <c r="D50" s="6" t="n">
        <v>100</v>
      </c>
      <c r="E50" s="6" t="n">
        <v>90</v>
      </c>
      <c r="F50" s="6" t="n">
        <v>180</v>
      </c>
      <c r="G50" s="6" t="inlineStr">
        <is>
          <t>Hours billed</t>
        </is>
      </c>
      <c r="H50" s="6" t="inlineStr">
        <is>
          <t>DISCOUNT; MAINT; TIRES; RECON; OTHER</t>
        </is>
      </c>
      <c r="I50" s="6" t="inlineStr">
        <is>
          <t>(1)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is>
      </c>
      <c r="J50" s="6" t="inlineStr">
        <is>
          <t>Dealer's total labor sales / total hours that generated those sales</t>
        </is>
      </c>
      <c r="K50" s="6" t="inlineStr">
        <is>
          <t>Demand (by dealer or manufacturer) not within 12 months of the last labor-rate declaration</t>
        </is>
      </c>
      <c r="L50" s="6" t="inlineStr"/>
    </row>
    <row r="51">
      <c r="A51" s="6" t="inlineStr">
        <is>
          <t>WY</t>
        </is>
      </c>
      <c r="B51" s="6" t="inlineStr">
        <is>
          <t>Wyoming</t>
        </is>
      </c>
      <c r="C51" s="6" t="inlineStr">
        <is>
          <t>fewer of the two samples</t>
        </is>
      </c>
      <c r="D51" s="6" t="n">
        <v>100</v>
      </c>
      <c r="E51" s="6" t="n">
        <v>90</v>
      </c>
      <c r="F51" s="6" t="n">
        <v>180</v>
      </c>
      <c r="G51" s="6" t="inlineStr">
        <is>
          <t>Hours billed</t>
        </is>
      </c>
      <c r="H51" s="6" t="inlineStr">
        <is>
          <t>DISCOUNT; INTERNAL; MAINT; ACCESS; RECON; INSPECT; BODY; WARRANTY; OTHER</t>
        </is>
      </c>
      <c r="I51" s="6" t="inlineStr">
        <is>
          <t>(i)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is>
      </c>
      <c r="J51" s="6" t="inlineStr">
        <is>
          <t>Total labor charged on the submitted qualified ROs / total number of hours worked on those ROs</t>
        </is>
      </c>
      <c r="K51" s="6" t="inlineStr">
        <is>
          <t>Once every 12 months unless by mutual agreement</t>
        </is>
      </c>
      <c r="L51" s="6" t="inlineStr"/>
    </row>
  </sheetData>
  <autoFilter ref="A1:L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6" customWidth="1" min="3" max="3"/>
    <col width="12" customWidth="1" min="4" max="4"/>
    <col width="34" customWidth="1" min="5" max="5"/>
    <col width="14" customWidth="1" min="6" max="6"/>
    <col width="12" customWidth="1" min="7" max="7"/>
    <col width="14" customWidth="1" min="8" max="8"/>
    <col width="30" customWidth="1" min="9" max="9"/>
    <col width="50" customWidth="1" min="10" max="10"/>
    <col width="13" customWidth="1" min="11" max="11"/>
    <col width="13" customWidth="1" min="12" max="12"/>
    <col width="60" customWidth="1" min="13" max="13"/>
  </cols>
  <sheetData>
    <row r="1" ht="32" customHeight="1">
      <c r="A1" s="4" t="inlineStr">
        <is>
          <t>State</t>
        </is>
      </c>
      <c r="B1" s="4" t="inlineStr">
        <is>
          <t>Name</t>
        </is>
      </c>
      <c r="C1" s="4" t="inlineStr">
        <is>
          <t>Section</t>
        </is>
      </c>
      <c r="D1" s="4" t="inlineStr">
        <is>
          <t>Last amended (year)</t>
        </is>
      </c>
      <c r="E1" s="4" t="inlineStr">
        <is>
          <t>Amending act</t>
        </is>
      </c>
      <c r="F1" s="4" t="inlineStr">
        <is>
          <t>Amendment effective</t>
        </is>
      </c>
      <c r="G1" s="4" t="inlineStr">
        <is>
          <t>Originally enacted</t>
        </is>
      </c>
      <c r="H1" s="4" t="inlineStr">
        <is>
          <t>Next change effective</t>
        </is>
      </c>
      <c r="I1" s="4" t="inlineStr">
        <is>
          <t>Next change act</t>
        </is>
      </c>
      <c r="J1" s="4" t="inlineStr">
        <is>
          <t>Next change summary</t>
        </is>
      </c>
      <c r="K1" s="4" t="inlineStr">
        <is>
          <t>Audit fields verified</t>
        </is>
      </c>
      <c r="L1" s="4" t="inlineStr">
        <is>
          <t>Coverage verified</t>
        </is>
      </c>
      <c r="M1" s="4" t="inlineStr">
        <is>
          <t>History source</t>
        </is>
      </c>
    </row>
    <row r="2">
      <c r="A2" s="6" t="inlineStr">
        <is>
          <t>AK</t>
        </is>
      </c>
      <c r="B2" s="6" t="inlineStr">
        <is>
          <t>Alaska</t>
        </is>
      </c>
      <c r="C2" s="6" t="inlineStr">
        <is>
          <t>AS 45.25.210</t>
        </is>
      </c>
      <c r="D2" s="6" t="n">
        <v>2024</v>
      </c>
      <c r="E2" s="6" t="inlineStr">
        <is>
          <t>HB 233 (ch. 20 SLA 2024)</t>
        </is>
      </c>
      <c r="F2" s="6" t="inlineStr">
        <is>
          <t>2024-10-27</t>
        </is>
      </c>
      <c r="G2" s="6" t="n">
        <v>2018</v>
      </c>
      <c r="H2" s="6" t="inlineStr"/>
      <c r="I2" s="6" t="inlineStr"/>
      <c r="J2" s="6" t="inlineStr"/>
      <c r="K2" s="6" t="inlineStr">
        <is>
          <t>2026-10-06</t>
        </is>
      </c>
      <c r="L2" s="6" t="inlineStr">
        <is>
          <t>2026-09-24</t>
        </is>
      </c>
      <c r="M2" s="6" t="inlineStr">
        <is>
          <t>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checked 10/2026 (2025 Summary of Legislation, 2026 weekly bill status, LegiScan completed-bill list): no act amends AS 45.25.200-.210.</t>
        </is>
      </c>
    </row>
    <row r="3">
      <c r="A3" s="6" t="inlineStr">
        <is>
          <t>AL</t>
        </is>
      </c>
      <c r="B3" s="6" t="inlineStr">
        <is>
          <t>Alabama</t>
        </is>
      </c>
      <c r="C3" s="6" t="inlineStr">
        <is>
          <t>Ala. Code § 8-20-7</t>
        </is>
      </c>
      <c r="D3" s="6" t="n">
        <v>2022</v>
      </c>
      <c r="E3" s="6" t="inlineStr">
        <is>
          <t>Act 2022-104 (SB 52), § 1</t>
        </is>
      </c>
      <c r="F3" s="6" t="inlineStr">
        <is>
          <t>2022-06-01</t>
        </is>
      </c>
      <c r="G3" s="6" t="n">
        <v>1981</v>
      </c>
      <c r="H3" s="6" t="inlineStr"/>
      <c r="I3" s="6" t="inlineStr"/>
      <c r="J3" s="6" t="inlineStr"/>
      <c r="K3" s="6" t="inlineStr">
        <is>
          <t>2026-10-06</t>
        </is>
      </c>
      <c r="L3" s="6" t="inlineStr">
        <is>
          <t>2026-09-24</t>
        </is>
      </c>
      <c r="M3" s="6" t="inlineStr">
        <is>
          <t>ALISON official code history note: '(Acts 1981, No. 81-390, p. 596, §7; Acts 1991, No. 91-212...; Act 2000-267...; Act 2010-198...; Act 2022-104, §1.)'. ALISON bill record for SB52/Act 2022-104 gives effective date 6/1/22. ALISON instrument searches of the 2023-2026 sessions found no motor-vehicle-dealer act.</t>
        </is>
      </c>
    </row>
    <row r="4">
      <c r="A4" s="6" t="inlineStr">
        <is>
          <t>AR</t>
        </is>
      </c>
      <c r="B4" s="6" t="inlineStr">
        <is>
          <t>Arkansas</t>
        </is>
      </c>
      <c r="C4" s="6" t="inlineStr">
        <is>
          <t>Ark. Code Ann. § 23-112-313</t>
        </is>
      </c>
      <c r="D4" s="6" t="n">
        <v>2023</v>
      </c>
      <c r="E4" s="6" t="inlineStr">
        <is>
          <t>Act 515 of 2023 (HB 1579), §§ 1-2</t>
        </is>
      </c>
      <c r="F4" s="6" t="inlineStr">
        <is>
          <t>2023-08-01</t>
        </is>
      </c>
      <c r="G4" s="6" t="n">
        <v>1997</v>
      </c>
      <c r="H4" s="6" t="inlineStr"/>
      <c r="I4" s="6" t="inlineStr"/>
      <c r="J4" s="6" t="inlineStr"/>
      <c r="K4" s="6" t="inlineStr">
        <is>
          <t>2026-10-23</t>
        </is>
      </c>
      <c r="L4" s="6" t="inlineStr">
        <is>
          <t>2026-09-24</t>
        </is>
      </c>
      <c r="M4" s="6" t="inlineStr">
        <is>
          <t>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(Justia 2025 histories; 2025 AMVC-related acts were only Act 233 (§ 302) and Act 816 (§ 308(a)(25))).</t>
        </is>
      </c>
    </row>
    <row r="5">
      <c r="A5" s="6" t="inlineStr">
        <is>
          <t>AZ</t>
        </is>
      </c>
      <c r="B5" s="6" t="inlineStr">
        <is>
          <t>Arizona</t>
        </is>
      </c>
      <c r="C5" s="6" t="inlineStr">
        <is>
          <t>A.R.S. § 28-4451</t>
        </is>
      </c>
      <c r="D5" s="6" t="n">
        <v>2024</v>
      </c>
      <c r="E5" s="6" t="inlineStr">
        <is>
          <t>Laws 2024, ch. 94 (HB 2410), § 1</t>
        </is>
      </c>
      <c r="F5" s="6" t="inlineStr">
        <is>
          <t>2024-09-14</t>
        </is>
      </c>
      <c r="G5" s="6" t="inlineStr"/>
      <c r="H5" s="6" t="inlineStr"/>
      <c r="I5" s="6" t="inlineStr"/>
      <c r="J5" s="6" t="inlineStr"/>
      <c r="K5" s="6" t="inlineStr">
        <is>
          <t>2026-09-25</t>
        </is>
      </c>
      <c r="L5" s="6" t="inlineStr">
        <is>
          <t>2026-09-24</t>
        </is>
      </c>
      <c r="M5" s="6" t="inlineStr">
        <is>
          <t>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is>
      </c>
    </row>
    <row r="6">
      <c r="A6" s="6" t="inlineStr">
        <is>
          <t>CA</t>
        </is>
      </c>
      <c r="B6" s="6" t="inlineStr">
        <is>
          <t>California</t>
        </is>
      </c>
      <c r="C6" s="6" t="inlineStr">
        <is>
          <t>Cal. Veh. Code § 3065</t>
        </is>
      </c>
      <c r="D6" s="6" t="n">
        <v>2019</v>
      </c>
      <c r="E6" s="6" t="inlineStr">
        <is>
          <t>AB 179 (Stats. 2019, ch. 796, § 11)</t>
        </is>
      </c>
      <c r="F6" s="6" t="inlineStr">
        <is>
          <t>2020-01-01</t>
        </is>
      </c>
      <c r="G6" s="6" t="inlineStr"/>
      <c r="H6" s="6" t="inlineStr"/>
      <c r="I6" s="6" t="inlineStr"/>
      <c r="J6" s="6" t="inlineStr"/>
      <c r="K6" s="6" t="inlineStr">
        <is>
          <t>2026-10-23</t>
        </is>
      </c>
      <c r="L6" s="6" t="inlineStr">
        <is>
          <t>2026-09-24</t>
        </is>
      </c>
      <c r="M6" s="6" t="inlineStr">
        <is>
          <t>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session checked 10/2026 (all Assembly and Senate Transportation 2026 bill-hearing agendas; AB 2788 omnibus, ch. 223): no 2026 bill amends §§ 3065, 3065.1, 3065.2, 3065.4 or 11713.13.</t>
        </is>
      </c>
    </row>
    <row r="7">
      <c r="A7" s="6" t="inlineStr">
        <is>
          <t>CO</t>
        </is>
      </c>
      <c r="B7" s="6" t="inlineStr">
        <is>
          <t>Colorado</t>
        </is>
      </c>
      <c r="C7" s="6" t="inlineStr">
        <is>
          <t>C.R.S. § 44-20-141.5</t>
        </is>
      </c>
      <c r="D7" s="6" t="n">
        <v>2023</v>
      </c>
      <c r="E7" s="6" t="inlineStr">
        <is>
          <t>SB 23-078 (L. 2023, ch. 51, p. 182, § 1)</t>
        </is>
      </c>
      <c r="F7" s="6" t="inlineStr">
        <is>
          <t>2023-08-07</t>
        </is>
      </c>
      <c r="G7" s="6" t="n">
        <v>2018</v>
      </c>
      <c r="H7" s="6" t="inlineStr"/>
      <c r="I7" s="6" t="inlineStr"/>
      <c r="J7" s="6" t="inlineStr"/>
      <c r="K7" s="6" t="inlineStr">
        <is>
          <t>2026-10-06</t>
        </is>
      </c>
      <c r="L7" s="6" t="inlineStr">
        <is>
          <t>2026-09-24</t>
        </is>
      </c>
      <c r="M7" s="6" t="inlineStr">
        <is>
          <t>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Justia 2025 C.R.S. source notes; all 437 2026 session laws reviewed by title, with the omnibus/technical acts (HB26-1216, SB26-169, HB26-1295, HB26-1053, SB26-137) read in full.</t>
        </is>
      </c>
    </row>
    <row r="8">
      <c r="A8" s="6" t="inlineStr">
        <is>
          <t>CT</t>
        </is>
      </c>
      <c r="B8" s="6" t="inlineStr">
        <is>
          <t>Connecticut</t>
        </is>
      </c>
      <c r="C8" s="6" t="inlineStr">
        <is>
          <t>Conn. Gen. Stat. § 42-133s</t>
        </is>
      </c>
      <c r="D8" s="6" t="n">
        <v>2026</v>
      </c>
      <c r="E8" s="6" t="inlineStr">
        <is>
          <t>P.A. 26-24 (sSB 413), § 23 (approved May 27, 2026)</t>
        </is>
      </c>
      <c r="F8" s="6" t="inlineStr">
        <is>
          <t>2026-10-01</t>
        </is>
      </c>
      <c r="G8" s="6" t="n">
        <v>1982</v>
      </c>
      <c r="H8" s="6" t="inlineStr"/>
      <c r="I8" s="6" t="inlineStr"/>
      <c r="J8" s="6" t="inlineStr"/>
      <c r="K8" s="6" t="inlineStr">
        <is>
          <t>2026-10-06</t>
        </is>
      </c>
      <c r="L8" s="6" t="inlineStr">
        <is>
          <t>2026-09-24</t>
        </is>
      </c>
      <c r="M8" s="6" t="inlineStr">
        <is>
          <t>Official 2025-revision source note: '(P.A. 82-445, S. 2, 15; P.A. 83-198, S. 2, 11; P.A. 95-245, S. 1, 3; P.A. 09-50, S. 1; P.A. 15-191, S. 1.)'. P.A. 15-191 § 1 says '(Effective October 1, 2015)' and was approved July 2, 2015. The 2026 Supplement's Title 42 index lists no ch. 739 changes. P.A. 26-24 PDF was read. P.A. 26-24 § 23 (effective 10/1/2026) rewrote § 42-133s(j) so the 30-day approve/pay, 1-year audit/chargeback and 30-day resubmission rules also cover the new § 22 stop-sale/do-not-drive used-vehicle recall compensation claims; the labor-rate text in (c), (d) and (f) is unchanged.</t>
        </is>
      </c>
    </row>
    <row r="9">
      <c r="A9" s="6" t="inlineStr">
        <is>
          <t>DE</t>
        </is>
      </c>
      <c r="B9" s="6" t="inlineStr">
        <is>
          <t>Delaware</t>
        </is>
      </c>
      <c r="C9" s="6" t="inlineStr">
        <is>
          <t>6 Del. C. § 4903</t>
        </is>
      </c>
      <c r="D9" s="6" t="n">
        <v>2024</v>
      </c>
      <c r="E9" s="6" t="inlineStr">
        <is>
          <t>84 Del. Laws c. 389, § 3 (SS 2 for SB 278, as amended by SA 1)</t>
        </is>
      </c>
      <c r="F9" s="6" t="inlineStr">
        <is>
          <t>2024-08-29</t>
        </is>
      </c>
      <c r="G9" s="6" t="n">
        <v>1983</v>
      </c>
      <c r="H9" s="6" t="inlineStr"/>
      <c r="I9" s="6" t="inlineStr"/>
      <c r="J9" s="6" t="inlineStr"/>
      <c r="K9" s="6" t="inlineStr">
        <is>
          <t>2026-09-25</t>
        </is>
      </c>
      <c r="L9" s="6" t="inlineStr">
        <is>
          <t>2026-09-24</t>
        </is>
      </c>
      <c r="M9" s="6" t="inlineStr">
        <is>
          <t>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is>
      </c>
    </row>
    <row r="10">
      <c r="A10" s="6" t="inlineStr">
        <is>
          <t>FL</t>
        </is>
      </c>
      <c r="B10" s="6" t="inlineStr">
        <is>
          <t>Florida</t>
        </is>
      </c>
      <c r="C10" s="6" t="inlineStr">
        <is>
          <t>Fla. Stat. § 320.696</t>
        </is>
      </c>
      <c r="D10" s="6" t="n">
        <v>2009</v>
      </c>
      <c r="E10" s="6" t="inlineStr">
        <is>
          <t>Ch. 2009-93, § 4 (CS/CS/CS/SB 2630). Ch. 2017-187, § 3 later reenacted § 320.696 without change.</t>
        </is>
      </c>
      <c r="F10" s="6" t="inlineStr">
        <is>
          <t>2009-05-28</t>
        </is>
      </c>
      <c r="G10" s="6" t="n">
        <v>1970</v>
      </c>
      <c r="H10" s="6" t="inlineStr"/>
      <c r="I10" s="6" t="inlineStr"/>
      <c r="J10" s="6" t="inlineStr"/>
      <c r="K10" s="6" t="inlineStr">
        <is>
          <t>2026-10-23</t>
        </is>
      </c>
      <c r="L10" s="6" t="inlineStr">
        <is>
          <t>2026-09-24</t>
        </is>
      </c>
      <c r="M10" s="6" t="inlineStr">
        <is>
          <t>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is>
      </c>
    </row>
    <row r="11">
      <c r="A11" s="6" t="inlineStr">
        <is>
          <t>GA</t>
        </is>
      </c>
      <c r="B11" s="6" t="inlineStr">
        <is>
          <t>Georgia</t>
        </is>
      </c>
      <c r="C11" s="6" t="inlineStr">
        <is>
          <t>O.C.G.A. § 10-1-641</t>
        </is>
      </c>
      <c r="D11" s="6" t="n">
        <v>2025</v>
      </c>
      <c r="E11" s="6" t="inlineStr">
        <is>
          <t>SB 81 (Ga. L. 2025, p. 703, § 4)</t>
        </is>
      </c>
      <c r="F11" s="6" t="inlineStr">
        <is>
          <t>2025-07-01</t>
        </is>
      </c>
      <c r="G11" s="6" t="n">
        <v>1993</v>
      </c>
      <c r="H11" s="6" t="inlineStr"/>
      <c r="I11" s="6" t="inlineStr"/>
      <c r="J11" s="6" t="inlineStr"/>
      <c r="K11" s="6" t="inlineStr">
        <is>
          <t>2026-09-25</t>
        </is>
      </c>
      <c r="L11" s="6" t="inlineStr">
        <is>
          <t>2026-09-24</t>
        </is>
      </c>
      <c r="M11" s="6" t="inlineStr">
        <is>
          <t>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is>
      </c>
    </row>
    <row r="12">
      <c r="A12" s="6" t="inlineStr">
        <is>
          <t>HI</t>
        </is>
      </c>
      <c r="B12" s="6" t="inlineStr">
        <is>
          <t>Hawaii</t>
        </is>
      </c>
      <c r="C12" s="6" t="inlineStr">
        <is>
          <t>HRS § 437-28(a)(21)(G) (labor rate + 30/30 claim rule) and § 437-56 (claims, parts)</t>
        </is>
      </c>
      <c r="D12" s="6" t="n">
        <v>2012</v>
      </c>
      <c r="E12" s="6" t="inlineStr">
        <is>
          <t>L 2012, c 246, § 2 (HB 1543) amending § 437-56; § 437-28 last amended L 2010, c 164, § 6 (SB 2859), eff. 2010-07-01 (deleted ', parts, and other expenses' from (21)(G))</t>
        </is>
      </c>
      <c r="F12" s="6" t="inlineStr">
        <is>
          <t>2012-07-06</t>
        </is>
      </c>
      <c r="G12" s="6" t="n">
        <v>1939</v>
      </c>
      <c r="H12" s="6" t="inlineStr"/>
      <c r="I12" s="6" t="inlineStr"/>
      <c r="J12" s="6" t="inlineStr"/>
      <c r="K12" s="6" t="inlineStr">
        <is>
          <t>2026-09-25</t>
        </is>
      </c>
      <c r="L12" s="6" t="inlineStr">
        <is>
          <t>2026-09-24</t>
        </is>
      </c>
      <c r="M12" s="6" t="inlineStr">
        <is>
          <t>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is>
      </c>
    </row>
    <row r="13">
      <c r="A13" s="6" t="inlineStr">
        <is>
          <t>IA</t>
        </is>
      </c>
      <c r="B13" s="6" t="inlineStr">
        <is>
          <t>Iowa</t>
        </is>
      </c>
      <c r="C13" s="6" t="inlineStr">
        <is>
          <t>Iowa Code § 322A.5</t>
        </is>
      </c>
      <c r="D13" s="6" t="n">
        <v>2023</v>
      </c>
      <c r="E13" s="6" t="inlineStr">
        <is>
          <t>2023 Iowa Acts ch. 19, § 1971 (SF 514, state government reorganization; conforming agency-name change in (2)(b)(3)(b)). Last substantive change: 2021 Iowa Acts ch. 38, § 5</t>
        </is>
      </c>
      <c r="F13" s="6" t="inlineStr">
        <is>
          <t>2023-07-01</t>
        </is>
      </c>
      <c r="G13" s="6" t="n">
        <v>1971</v>
      </c>
      <c r="H13" s="6" t="inlineStr"/>
      <c r="I13" s="6" t="inlineStr"/>
      <c r="J13" s="6" t="inlineStr"/>
      <c r="K13" s="6" t="inlineStr">
        <is>
          <t>2026-09-25</t>
        </is>
      </c>
      <c r="L13" s="6" t="inlineStr">
        <is>
          <t>2026-09-24</t>
        </is>
      </c>
      <c r="M13" s="6" t="inlineStr">
        <is>
          <t>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is>
      </c>
    </row>
    <row r="14">
      <c r="A14" s="6" t="inlineStr">
        <is>
          <t>ID</t>
        </is>
      </c>
      <c r="B14" s="6" t="inlineStr">
        <is>
          <t>Idaho</t>
        </is>
      </c>
      <c r="C14" s="6" t="inlineStr">
        <is>
          <t>Idaho Code § 49-1626</t>
        </is>
      </c>
      <c r="D14" s="6" t="n">
        <v>2011</v>
      </c>
      <c r="E14" s="6" t="inlineStr">
        <is>
          <t>2011 Idaho Sess. Laws ch. 327, § 4 (H 195)</t>
        </is>
      </c>
      <c r="F14" s="6" t="inlineStr">
        <is>
          <t>2011-07-01</t>
        </is>
      </c>
      <c r="G14" s="6" t="n">
        <v>1988</v>
      </c>
      <c r="H14" s="6" t="inlineStr"/>
      <c r="I14" s="6" t="inlineStr"/>
      <c r="J14" s="6" t="inlineStr"/>
      <c r="K14" s="6" t="inlineStr">
        <is>
          <t>2026-10-06</t>
        </is>
      </c>
      <c r="L14" s="6" t="inlineStr">
        <is>
          <t>2026-09-24</t>
        </is>
      </c>
      <c r="M14" s="6" t="inlineStr">
        <is>
          <t>History line in the official ch. 16 PDF, which is current through 2026 (it shows 2026 ch. 47): 'added 1988, ch. 265, sec. 399; am. 1997, ch. 312, sec. 2; am. 2011, ch. 327, sec. 4'. H0195 (2011) bill page: signed April 14, 2011; Session Law Chapter 327; effective 07/01/2011.</t>
        </is>
      </c>
    </row>
    <row r="15">
      <c r="A15" s="6" t="inlineStr">
        <is>
          <t>IL</t>
        </is>
      </c>
      <c r="B15" s="6" t="inlineStr">
        <is>
          <t>Illinois</t>
        </is>
      </c>
      <c r="C15" s="6" t="inlineStr">
        <is>
          <t>815 ILCS 710/6</t>
        </is>
      </c>
      <c r="D15" s="6" t="n">
        <v>2021</v>
      </c>
      <c r="E15" s="6" t="inlineStr">
        <is>
          <t>P.A. 102-232 (eff. 1-1-2022) and P.A. 102-669 (eff. 11-16-2021)</t>
        </is>
      </c>
      <c r="F15" s="6" t="inlineStr">
        <is>
          <t>2022-01-01</t>
        </is>
      </c>
      <c r="G15" s="6" t="n">
        <v>1979</v>
      </c>
      <c r="H15" s="6" t="inlineStr"/>
      <c r="I15" s="6" t="inlineStr"/>
      <c r="J15" s="6" t="inlineStr"/>
      <c r="K15" s="6" t="inlineStr">
        <is>
          <t>2026-10-23</t>
        </is>
      </c>
      <c r="L15" s="6" t="inlineStr">
        <is>
          <t>2026-09-24</t>
        </is>
      </c>
      <c r="M15" s="6" t="inlineStr">
        <is>
          <t>ILCS source note on Sec. 6: '(Source: P.A. 102-232, eff. 1-1-22; 102-669, eff. 11-16-21.)'. The Act dates from P.A. 81-43 (1979). SB1939 (104th GA), which amends 710/6: passed the Senate 55-0, re-assigned to House Rules 3/20/2026; not law. No 104th GA public act (104-0001 to 104-0854) touches the Franchise Act.</t>
        </is>
      </c>
    </row>
    <row r="16">
      <c r="A16" s="6" t="inlineStr">
        <is>
          <t>IN</t>
        </is>
      </c>
      <c r="B16" s="6" t="inlineStr">
        <is>
          <t>Indiana</t>
        </is>
      </c>
      <c r="C16" s="6" t="inlineStr">
        <is>
          <t>IC 9-32-13-15.5</t>
        </is>
      </c>
      <c r="D16" s="6" t="n">
        <v>2025</v>
      </c>
      <c r="E16" s="6" t="inlineStr">
        <is>
          <t>P.L.92-2025, SEC.4 (HEA 1466)</t>
        </is>
      </c>
      <c r="F16" s="6" t="inlineStr">
        <is>
          <t>2025-07-01</t>
        </is>
      </c>
      <c r="G16" s="6" t="n">
        <v>2016</v>
      </c>
      <c r="H16" s="6" t="inlineStr"/>
      <c r="I16" s="6" t="inlineStr"/>
      <c r="J16" s="6" t="inlineStr"/>
      <c r="K16" s="6" t="inlineStr">
        <is>
          <t>2026-09-25</t>
        </is>
      </c>
      <c r="L16" s="6" t="inlineStr">
        <is>
          <t>2026-09-24</t>
        </is>
      </c>
      <c r="M16" s="6" t="inlineStr">
        <is>
          <t>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is>
      </c>
    </row>
    <row r="17">
      <c r="A17" s="6" t="inlineStr">
        <is>
          <t>KS</t>
        </is>
      </c>
      <c r="B17" s="6" t="inlineStr">
        <is>
          <t>Kansas</t>
        </is>
      </c>
      <c r="C17" s="6" t="inlineStr">
        <is>
          <t>K.S.A. 8-2415</t>
        </is>
      </c>
      <c r="D17" s="6" t="n">
        <v>2019</v>
      </c>
      <c r="E17" s="6" t="inlineStr">
        <is>
          <t>L. 2019, ch. 5, § 1 (2019 SB 39)</t>
        </is>
      </c>
      <c r="F17" s="6" t="inlineStr">
        <is>
          <t>2019-07-01</t>
        </is>
      </c>
      <c r="G17" s="6" t="n">
        <v>1980</v>
      </c>
      <c r="H17" s="6" t="inlineStr"/>
      <c r="I17" s="6" t="inlineStr"/>
      <c r="J17" s="6" t="inlineStr"/>
      <c r="K17" s="6" t="inlineStr">
        <is>
          <t>2026-10-06</t>
        </is>
      </c>
      <c r="L17" s="6" t="inlineStr">
        <is>
          <t>2026-09-24</t>
        </is>
      </c>
      <c r="M17" s="6" t="inlineStr">
        <is>
          <t>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composite list shows only new K.S.A. 8-2447 (L. 2025, ch. 58, HB 2030, eff. 7/1/2025), a trailer-dealer exemption; 8-2401 and 8-2415 were not amended.</t>
        </is>
      </c>
    </row>
    <row r="18">
      <c r="A18" s="6" t="inlineStr">
        <is>
          <t>KY</t>
        </is>
      </c>
      <c r="B18" s="6" t="inlineStr">
        <is>
          <t>Kentucky</t>
        </is>
      </c>
      <c r="C18" s="6" t="inlineStr">
        <is>
          <t>KRS 190.046</t>
        </is>
      </c>
      <c r="D18" s="6" t="n">
        <v>2026</v>
      </c>
      <c r="E18" s="6" t="inlineStr">
        <is>
          <t>2026 Ky. Acts ch. 83, sec. 1 (HB 648)</t>
        </is>
      </c>
      <c r="F18" s="6" t="inlineStr">
        <is>
          <t>2026-07-15</t>
        </is>
      </c>
      <c r="G18" s="6" t="n">
        <v>1972</v>
      </c>
      <c r="H18" s="6" t="inlineStr"/>
      <c r="I18" s="6" t="inlineStr"/>
      <c r="J18" s="6" t="inlineStr"/>
      <c r="K18" s="6" t="inlineStr">
        <is>
          <t>2026-09-25</t>
        </is>
      </c>
      <c r="L18" s="6" t="inlineStr">
        <is>
          <t>2026-09-24</t>
        </is>
      </c>
      <c r="M18" s="6" t="inlineStr">
        <is>
          <t>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is>
      </c>
    </row>
    <row r="19">
      <c r="A19" s="6" t="inlineStr">
        <is>
          <t>LA</t>
        </is>
      </c>
      <c r="B19" s="6" t="inlineStr">
        <is>
          <t>Louisiana</t>
        </is>
      </c>
      <c r="C19" s="6" t="inlineStr">
        <is>
          <t>La. R.S. 32:1262</t>
        </is>
      </c>
      <c r="D19" s="6" t="n">
        <v>2021</v>
      </c>
      <c r="E19" s="6" t="inlineStr">
        <is>
          <t>Acts 2021, No. 76, § 1 (HB 502)</t>
        </is>
      </c>
      <c r="F19" s="6" t="inlineStr">
        <is>
          <t>2021-08-01</t>
        </is>
      </c>
      <c r="G19" s="6" t="n">
        <v>2005</v>
      </c>
      <c r="H19" s="6" t="inlineStr"/>
      <c r="I19" s="6" t="inlineStr"/>
      <c r="J19" s="6" t="inlineStr"/>
      <c r="K19" s="6" t="inlineStr">
        <is>
          <t>2026-10-06</t>
        </is>
      </c>
      <c r="L19" s="6" t="inlineStr">
        <is>
          <t>2026-09-24</t>
        </is>
      </c>
      <c r="M19" s="6" t="inlineStr">
        <is>
          <t>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is>
      </c>
    </row>
    <row r="20">
      <c r="A20" s="6" t="inlineStr">
        <is>
          <t>MA</t>
        </is>
      </c>
      <c r="B20" s="6" t="inlineStr">
        <is>
          <t>Massachusetts</t>
        </is>
      </c>
      <c r="C20" s="6" t="inlineStr">
        <is>
          <t>Mass. Gen. Laws ch. 93B, § 9</t>
        </is>
      </c>
      <c r="D20" s="6" t="n">
        <v>2012</v>
      </c>
      <c r="E20" s="6" t="inlineStr">
        <is>
          <t>St. 2012, c. 152, §§ 8-9 (rewrote § 9(b); added chargeback-meeting paragraph to § 9(e))</t>
        </is>
      </c>
      <c r="F20" s="6" t="inlineStr">
        <is>
          <t>2012-10-16</t>
        </is>
      </c>
      <c r="G20" s="6" t="n">
        <v>1970</v>
      </c>
      <c r="H20" s="6" t="inlineStr"/>
      <c r="I20" s="6" t="inlineStr"/>
      <c r="J20" s="6" t="inlineStr"/>
      <c r="K20" s="6" t="inlineStr">
        <is>
          <t>2026-09-25</t>
        </is>
      </c>
      <c r="L20" s="6" t="inlineStr">
        <is>
          <t>2026-09-24</t>
        </is>
      </c>
      <c r="M20" s="6" t="inlineStr">
        <is>
          <t>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is>
      </c>
    </row>
    <row r="21">
      <c r="A21" s="6" t="inlineStr">
        <is>
          <t>MD</t>
        </is>
      </c>
      <c r="B21" s="6" t="inlineStr">
        <is>
          <t>Maryland</t>
        </is>
      </c>
      <c r="C21" s="6" t="inlineStr">
        <is>
          <t>Md. Code, Transp. § 15-212</t>
        </is>
      </c>
      <c r="D21" s="6" t="n">
        <v>2020</v>
      </c>
      <c r="E21" s="6" t="inlineStr">
        <is>
          <t>2020 Md. Laws ch. 628 (SB 749, Annual Corrective Bill; tabulation fix in (c)(14)). Last substantive change: 2016 Md. Laws ch. 720 (HB 525), eff. 2016-10-01</t>
        </is>
      </c>
      <c r="F21" s="6" t="inlineStr">
        <is>
          <t>2020-05-08</t>
        </is>
      </c>
      <c r="G21" s="6" t="inlineStr"/>
      <c r="H21" s="6" t="inlineStr"/>
      <c r="I21" s="6" t="inlineStr"/>
      <c r="J21" s="6" t="inlineStr"/>
      <c r="K21" s="6" t="inlineStr">
        <is>
          <t>2026-09-25</t>
        </is>
      </c>
      <c r="L21" s="6" t="inlineStr">
        <is>
          <t>2026-09-24</t>
        </is>
      </c>
      <c r="M21" s="6" t="inlineStr">
        <is>
          <t>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is>
      </c>
    </row>
    <row r="22">
      <c r="A22" s="6" t="inlineStr">
        <is>
          <t>ME</t>
        </is>
      </c>
      <c r="B22" s="6" t="inlineStr">
        <is>
          <t>Maine</t>
        </is>
      </c>
      <c r="C22" s="6" t="inlineStr">
        <is>
          <t>10 M.R.S. § 1176</t>
        </is>
      </c>
      <c r="D22" s="6" t="n">
        <v>2013</v>
      </c>
      <c r="E22" s="6" t="inlineStr">
        <is>
          <t>PL 2013, c. 534, § 7 (added the clerical-error paragraph)</t>
        </is>
      </c>
      <c r="F22" s="6" t="inlineStr">
        <is>
          <t>2014-08-01</t>
        </is>
      </c>
      <c r="G22" s="6" t="n">
        <v>1975</v>
      </c>
      <c r="H22" s="6" t="inlineStr"/>
      <c r="I22" s="6" t="inlineStr"/>
      <c r="J22" s="6" t="inlineStr"/>
      <c r="K22" s="6" t="inlineStr">
        <is>
          <t>2026-10-06</t>
        </is>
      </c>
      <c r="L22" s="6" t="inlineStr">
        <is>
          <t>2026-09-24</t>
        </is>
      </c>
      <c r="M22" s="6" t="inlineStr">
        <is>
          <t>Revisor section history: 'PL 1975, c. 573 (NEW) ... PL 2003, c. 356, §10 (AMD). PL 2013, c. 534, §7 (AMD).' § 1176-A last amended PL 2017, c. 217, § 8. Revisor data were extracted 10/20/2025. 2026 session checked through committee bill-disposition digests (May 2026): only PL 2025 cc. 592, 637 and 660 touched dealer or vehicle law, and none amended §§ 1176/1176-A. PL 2013, c. 534 took effect 8/1/2014 (general effective date, 126th 2nd Regular Session).</t>
        </is>
      </c>
    </row>
    <row r="23">
      <c r="A23" s="6" t="inlineStr">
        <is>
          <t>MI</t>
        </is>
      </c>
      <c r="B23" s="6" t="inlineStr">
        <is>
          <t>Michigan</t>
        </is>
      </c>
      <c r="C23" s="6" t="inlineStr">
        <is>
          <t>Mich. Comp. Laws §§ 445.1577 and 445.1577a</t>
        </is>
      </c>
      <c r="D23" s="6" t="n">
        <v>2018</v>
      </c>
      <c r="E23" s="6" t="inlineStr">
        <is>
          <t>2018 PA 668 (amended § 445.1577; added § 445.1577a)</t>
        </is>
      </c>
      <c r="F23" s="6" t="inlineStr">
        <is>
          <t>2019-03-28</t>
        </is>
      </c>
      <c r="G23" s="6" t="n">
        <v>1981</v>
      </c>
      <c r="H23" s="6" t="inlineStr"/>
      <c r="I23" s="6" t="inlineStr"/>
      <c r="J23" s="6" t="inlineStr"/>
      <c r="K23" s="6" t="inlineStr">
        <is>
          <t>2026-09-25</t>
        </is>
      </c>
      <c r="L23" s="6" t="inlineStr">
        <is>
          <t>2026-09-24</t>
        </is>
      </c>
      <c r="M23" s="6" t="inlineStr">
        <is>
          <t>History notes on the official MCL pages. § 17: 1981 Act 118 (Imd. Eff. 7/19/1981); Am. 1983 Act 188; Am. 2010 Act 138; Am. 2018 Act 668, Eff. 3/28/2019. § 17a: Add. 2018 Act 668, Eff. 3/28/2019.</t>
        </is>
      </c>
    </row>
    <row r="24">
      <c r="A24" s="6" t="inlineStr">
        <is>
          <t>MN</t>
        </is>
      </c>
      <c r="B24" s="6" t="inlineStr">
        <is>
          <t>Minnesota</t>
        </is>
      </c>
      <c r="C24" s="6" t="inlineStr">
        <is>
          <t>Minn. Stat. § 80E.041</t>
        </is>
      </c>
      <c r="D24" s="6" t="n">
        <v>2023</v>
      </c>
      <c r="E24" s="6" t="inlineStr">
        <is>
          <t>2023 Minn. Laws ch. 57, art. 4, § 4 (subd. 4)</t>
        </is>
      </c>
      <c r="F24" s="6" t="inlineStr">
        <is>
          <t>2023-10-01</t>
        </is>
      </c>
      <c r="G24" s="6" t="n">
        <v>2018</v>
      </c>
      <c r="H24" s="6" t="inlineStr"/>
      <c r="I24" s="6" t="inlineStr"/>
      <c r="J24" s="6" t="inlineStr"/>
      <c r="K24" s="6" t="inlineStr">
        <is>
          <t>2026-09-25</t>
        </is>
      </c>
      <c r="L24" s="6" t="inlineStr">
        <is>
          <t>2026-09-24</t>
        </is>
      </c>
      <c r="M24" s="6" t="inlineStr">
        <is>
          <t>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is>
      </c>
    </row>
    <row r="25">
      <c r="A25" s="6" t="inlineStr">
        <is>
          <t>MO</t>
        </is>
      </c>
      <c r="B25" s="6" t="inlineStr">
        <is>
          <t>Missouri</t>
        </is>
      </c>
      <c r="C25" s="6" t="inlineStr">
        <is>
          <t>Mo. Rev. Stat. § 407.828</t>
        </is>
      </c>
      <c r="D25" s="6" t="n">
        <v>2023</v>
      </c>
      <c r="E25" s="6" t="inlineStr">
        <is>
          <t>2023 S.B. 398</t>
        </is>
      </c>
      <c r="F25" s="6" t="inlineStr">
        <is>
          <t>2023-08-28</t>
        </is>
      </c>
      <c r="G25" s="6" t="n">
        <v>2001</v>
      </c>
      <c r="H25" s="6" t="inlineStr"/>
      <c r="I25" s="6" t="inlineStr"/>
      <c r="J25" s="6" t="inlineStr"/>
      <c r="K25" s="6" t="inlineStr">
        <is>
          <t>2026-09-25</t>
        </is>
      </c>
      <c r="L25" s="6" t="inlineStr">
        <is>
          <t>2026-09-24</t>
        </is>
      </c>
      <c r="M25" s="6" t="inlineStr">
        <is>
          <t>Revisor history note '(L. 2001 H.B. 575, A.L. 2010 H.B. 2198, A.L. 2023 S.B. 398)' and version table (current version effective 8/28/2023, no later or future version listed as of 9/24/2026)</t>
        </is>
      </c>
    </row>
    <row r="26">
      <c r="A26" s="6" t="inlineStr">
        <is>
          <t>MS</t>
        </is>
      </c>
      <c r="B26" s="6" t="inlineStr">
        <is>
          <t>Mississippi</t>
        </is>
      </c>
      <c r="C26" s="6" t="inlineStr">
        <is>
          <t>Miss. Code Ann. §§ 63-17-85(j), 63-17-86</t>
        </is>
      </c>
      <c r="D26" s="6" t="n">
        <v>2021</v>
      </c>
      <c r="E26" s="6" t="inlineStr">
        <is>
          <t>Laws 2021, ch. 315 (HB 746), §§ 2-3</t>
        </is>
      </c>
      <c r="F26" s="6" t="inlineStr">
        <is>
          <t>2021-07-01</t>
        </is>
      </c>
      <c r="G26" s="6" t="n">
        <v>1970</v>
      </c>
      <c r="H26" s="6" t="inlineStr"/>
      <c r="I26" s="6" t="inlineStr"/>
      <c r="J26" s="6" t="inlineStr"/>
      <c r="K26" s="6" t="inlineStr">
        <is>
          <t>2026-10-06</t>
        </is>
      </c>
      <c r="L26" s="6" t="inlineStr">
        <is>
          <t>2026-09-24</t>
        </is>
      </c>
      <c r="M26" s="6" t="inlineStr">
        <is>
          <t>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is>
      </c>
    </row>
    <row r="27">
      <c r="A27" s="6" t="inlineStr">
        <is>
          <t>MT</t>
        </is>
      </c>
      <c r="B27" s="6" t="inlineStr">
        <is>
          <t>Montana</t>
        </is>
      </c>
      <c r="C27" s="6" t="inlineStr">
        <is>
          <t>Mont. Code Ann. § 61-4-213</t>
        </is>
      </c>
      <c r="D27" s="6" t="n">
        <v>2025</v>
      </c>
      <c r="E27" s="6" t="inlineStr">
        <is>
          <t>2025 Mont. Laws ch. 47, § 28 (HB 99)</t>
        </is>
      </c>
      <c r="F27" s="6" t="inlineStr">
        <is>
          <t>2025-10-01</t>
        </is>
      </c>
      <c r="G27" s="6" t="n">
        <v>2019</v>
      </c>
      <c r="H27" s="6" t="inlineStr"/>
      <c r="I27" s="6" t="inlineStr"/>
      <c r="J27" s="6" t="inlineStr"/>
      <c r="K27" s="6" t="inlineStr">
        <is>
          <t>2026-09-25</t>
        </is>
      </c>
      <c r="L27" s="6" t="inlineStr">
        <is>
          <t>2026-09-24</t>
        </is>
      </c>
      <c r="M27" s="6" t="inlineStr">
        <is>
          <t>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is>
      </c>
    </row>
    <row r="28">
      <c r="A28" s="6" t="inlineStr">
        <is>
          <t>NC</t>
        </is>
      </c>
      <c r="B28" s="6" t="inlineStr">
        <is>
          <t>North Carolina</t>
        </is>
      </c>
      <c r="C28" s="6" t="inlineStr">
        <is>
          <t>N.C. Gen. Stat. § 20-305.1</t>
        </is>
      </c>
      <c r="D28" s="6" t="n">
        <v>2025</v>
      </c>
      <c r="E28" s="6" t="inlineStr">
        <is>
          <t>S.L. 2025-41 (SB 295), § 8</t>
        </is>
      </c>
      <c r="F28" s="6" t="inlineStr">
        <is>
          <t>2025-07-01</t>
        </is>
      </c>
      <c r="G28" s="6" t="n">
        <v>1973</v>
      </c>
      <c r="H28" s="6" t="inlineStr"/>
      <c r="I28" s="6" t="inlineStr"/>
      <c r="J28" s="6" t="inlineStr"/>
      <c r="K28" s="6" t="inlineStr">
        <is>
          <t>2026-09-25</t>
        </is>
      </c>
      <c r="L28" s="6" t="inlineStr">
        <is>
          <t>2026-09-24</t>
        </is>
      </c>
      <c r="M28" s="6" t="inlineStr">
        <is>
          <t>Official history note: '(1973, c. 88, s. 3; ... 2023-116, s. 5; 2025-25, s. 29(5); 2025-41, s. 8.)'. S.L. 2025-41 was approved 7/1/2025; § 11 makes it effective when it becomes law, for current and future franchises. S.L. 2025-25 § 29(5) (approved 6/26/2025) is a Revisor 'website' wording change.</t>
        </is>
      </c>
    </row>
    <row r="29">
      <c r="A29" s="6" t="inlineStr">
        <is>
          <t>ND</t>
        </is>
      </c>
      <c r="B29" s="6" t="inlineStr">
        <is>
          <t>North Dakota</t>
        </is>
      </c>
      <c r="C29" s="6" t="inlineStr">
        <is>
          <t>N.D. Cent. Code § 51-07-29</t>
        </is>
      </c>
      <c r="D29" s="6" t="n">
        <v>2025</v>
      </c>
      <c r="E29" s="6" t="inlineStr">
        <is>
          <t>S.L. 2025, ch. 463 (HB 1515)</t>
        </is>
      </c>
      <c r="F29" s="6" t="inlineStr">
        <is>
          <t>2025-08-01</t>
        </is>
      </c>
      <c r="G29" s="6" t="n">
        <v>2013</v>
      </c>
      <c r="H29" s="6" t="inlineStr"/>
      <c r="I29" s="6" t="inlineStr"/>
      <c r="J29" s="6" t="inlineStr"/>
      <c r="K29" s="6" t="inlineStr">
        <is>
          <t>2026-09-25</t>
        </is>
      </c>
      <c r="L29" s="6" t="inlineStr">
        <is>
          <t>2026-09-24</t>
        </is>
      </c>
      <c r="M29" s="6" t="inlineStr">
        <is>
          <t>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is>
      </c>
    </row>
    <row r="30">
      <c r="A30" s="6" t="inlineStr">
        <is>
          <t>NE</t>
        </is>
      </c>
      <c r="B30" s="6" t="inlineStr">
        <is>
          <t>Nebraska</t>
        </is>
      </c>
      <c r="C30" s="6" t="inlineStr">
        <is>
          <t>Neb. Rev. Stat. § 60-1438</t>
        </is>
      </c>
      <c r="D30" s="6" t="n">
        <v>2026</v>
      </c>
      <c r="E30" s="6" t="inlineStr">
        <is>
          <t>Laws 2026, LB 972, § 70</t>
        </is>
      </c>
      <c r="F30" s="6" t="inlineStr">
        <is>
          <t>2026-10-01</t>
        </is>
      </c>
      <c r="G30" s="6" t="n">
        <v>1984</v>
      </c>
      <c r="H30" s="6" t="inlineStr"/>
      <c r="I30" s="6" t="inlineStr"/>
      <c r="J30" s="6" t="inlineStr"/>
      <c r="K30" s="6" t="inlineStr">
        <is>
          <t>2026-10-06</t>
        </is>
      </c>
      <c r="L30" s="6" t="inlineStr">
        <is>
          <t>2026-09-24</t>
        </is>
      </c>
      <c r="M30" s="6" t="inlineStr">
        <is>
          <t>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(approved 4/14/2026) § 70 amended § 60-1438, operative 10/1/2026. On 10/6/2026 the official page shows the LB 972 version but no subsection (7). The RV exclusion is codified at § 60-1419.01 (LB 972 § 72): §§ 60-1420 to 60-1440 do not apply to new-RV manufacturers, distributors or sellers.</t>
        </is>
      </c>
    </row>
    <row r="31">
      <c r="A31" s="6" t="inlineStr">
        <is>
          <t>NH</t>
        </is>
      </c>
      <c r="B31" s="6" t="inlineStr">
        <is>
          <t>New Hampshire</t>
        </is>
      </c>
      <c r="C31" s="6" t="inlineStr">
        <is>
          <t>N.H. Rev. Stat. Ann. § 357-C:5</t>
        </is>
      </c>
      <c r="D31" s="6" t="n">
        <v>2013</v>
      </c>
      <c r="E31" s="6" t="inlineStr">
        <is>
          <t>Laws 2013, ch. 130, §§ 12-13</t>
        </is>
      </c>
      <c r="F31" s="6" t="inlineStr">
        <is>
          <t>2013-09-23</t>
        </is>
      </c>
      <c r="G31" s="6" t="n">
        <v>1981</v>
      </c>
      <c r="H31" s="6" t="inlineStr"/>
      <c r="I31" s="6" t="inlineStr"/>
      <c r="J31" s="6" t="inlineStr"/>
      <c r="K31" s="6" t="inlineStr">
        <is>
          <t>2026-09-25</t>
        </is>
      </c>
      <c r="L31" s="6" t="inlineStr">
        <is>
          <t>2026-09-24</t>
        </is>
      </c>
      <c r="M31" s="6" t="inlineStr">
        <is>
          <t>Official RSA source note: '1981, 477:2. 1987, 159:1. 1990, 84:3. 1996, 263:3. 2000, 261:2 ... 2009, 20:5-7 ... 2013, 130:12, 13, eff. Sept. 23, 2013.' A 2025-2026 bill search turned up no enacted change to 357-C:5.</t>
        </is>
      </c>
    </row>
    <row r="32">
      <c r="A32" s="6" t="inlineStr">
        <is>
          <t>NJ</t>
        </is>
      </c>
      <c r="B32" s="6" t="inlineStr">
        <is>
          <t>New Jersey</t>
        </is>
      </c>
      <c r="C32" s="6" t="inlineStr">
        <is>
          <t>N.J. Stat. Ann. § 56:10-15</t>
        </is>
      </c>
      <c r="D32" s="6" t="n">
        <v>2025</v>
      </c>
      <c r="E32" s="6" t="inlineStr">
        <is>
          <t>P.L.2025, c.140, § 7 (S3309)</t>
        </is>
      </c>
      <c r="F32" s="6" t="inlineStr">
        <is>
          <t>2026-04-01</t>
        </is>
      </c>
      <c r="G32" s="6" t="n">
        <v>1977</v>
      </c>
      <c r="H32" s="6" t="inlineStr"/>
      <c r="I32" s="6" t="inlineStr"/>
      <c r="J32" s="6" t="inlineStr"/>
      <c r="K32" s="6" t="inlineStr">
        <is>
          <t>2026-10-06</t>
        </is>
      </c>
      <c r="L32" s="6" t="inlineStr">
        <is>
          <t>2026-09-24</t>
        </is>
      </c>
      <c r="M32" s="6" t="inlineStr">
        <is>
          <t>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is>
      </c>
    </row>
    <row r="33">
      <c r="A33" s="6" t="inlineStr">
        <is>
          <t>NM</t>
        </is>
      </c>
      <c r="B33" s="6" t="inlineStr">
        <is>
          <t>New Mexico</t>
        </is>
      </c>
      <c r="C33" s="6" t="inlineStr">
        <is>
          <t>N.M. Stat. Ann. § 57-16-7</t>
        </is>
      </c>
      <c r="D33" s="6" t="n">
        <v>2018</v>
      </c>
      <c r="E33" s="6" t="inlineStr">
        <is>
          <t>Laws 2018, ch. 28, § 3</t>
        </is>
      </c>
      <c r="F33" s="6" t="inlineStr">
        <is>
          <t>2018-03-01</t>
        </is>
      </c>
      <c r="G33" s="6" t="n">
        <v>1973</v>
      </c>
      <c r="H33" s="6" t="inlineStr"/>
      <c r="I33" s="6" t="inlineStr"/>
      <c r="J33" s="6" t="inlineStr"/>
      <c r="K33" s="6" t="inlineStr">
        <is>
          <t>2026-09-25</t>
        </is>
      </c>
      <c r="L33" s="6" t="inlineStr">
        <is>
          <t>2026-09-24</t>
        </is>
      </c>
      <c r="M33" s="6" t="inlineStr">
        <is>
          <t>Official NMSA history/annotations: '1953 Comp., § 64-37-7, enacted by Laws 1973, ch. 6, § 7; ... 2011, ch. 118, § 1; 2018, ch. 28, § 3' and 'The 2018 amendment, effective March 1, 2018' (emergency clause, approved 3/1/2018). 2026 SB 22 (would have amended §§ 57-16-3, -5 only) shows 'Died' on nmlegis.gov.</t>
        </is>
      </c>
    </row>
    <row r="34">
      <c r="A34" s="6" t="inlineStr">
        <is>
          <t>NV</t>
        </is>
      </c>
      <c r="B34" s="6" t="inlineStr">
        <is>
          <t>Nevada</t>
        </is>
      </c>
      <c r="C34" s="6" t="inlineStr">
        <is>
          <t>Nev. Rev. Stat. § 482.36385</t>
        </is>
      </c>
      <c r="D34" s="6" t="n">
        <v>2017</v>
      </c>
      <c r="E34" s="6" t="inlineStr">
        <is>
          <t>Stats. 2017, ch. 291 (AB 410), § 3.5</t>
        </is>
      </c>
      <c r="F34" s="6" t="inlineStr">
        <is>
          <t>2017-06-01</t>
        </is>
      </c>
      <c r="G34" s="6" t="n">
        <v>1977</v>
      </c>
      <c r="H34" s="6" t="inlineStr"/>
      <c r="I34" s="6" t="inlineStr"/>
      <c r="J34" s="6" t="inlineStr"/>
      <c r="K34" s="6" t="inlineStr">
        <is>
          <t>2026-09-25</t>
        </is>
      </c>
      <c r="L34" s="6" t="inlineStr">
        <is>
          <t>2026-09-24</t>
        </is>
      </c>
      <c r="M34" s="6" t="inlineStr">
        <is>
          <t>NRS history note '(Added to NRS by 1977, 556; A 1991, 1583; 1999, 2512; 2003, 20th Special Session, 303; 2005, 1148; 2011, 1027; 2017, 1541)'. The NRS 482 page was revised 9/9/2026. Statutes of Nevada 2017 ch. 291 (AB 410), approved 6/1/2017, § 6: 'This act becomes effective upon passage and approval'.</t>
        </is>
      </c>
    </row>
    <row r="35">
      <c r="A35" s="6" t="inlineStr">
        <is>
          <t>NY</t>
        </is>
      </c>
      <c r="B35" s="6" t="inlineStr">
        <is>
          <t>New York</t>
        </is>
      </c>
      <c r="C35" s="6" t="inlineStr">
        <is>
          <t>N.Y. Veh. &amp; Traf. Law § 465</t>
        </is>
      </c>
      <c r="D35" s="6" t="n">
        <v>2024</v>
      </c>
      <c r="E35" s="6" t="inlineStr">
        <is>
          <t>L.2024, ch. 301 (A4066-B / S5085-C)</t>
        </is>
      </c>
      <c r="F35" s="6" t="inlineStr">
        <is>
          <t>2024-09-04</t>
        </is>
      </c>
      <c r="G35" s="6" t="n">
        <v>1983</v>
      </c>
      <c r="H35" s="6" t="inlineStr"/>
      <c r="I35" s="6" t="inlineStr"/>
      <c r="J35" s="6" t="inlineStr"/>
      <c r="K35" s="6" t="inlineStr">
        <is>
          <t>2026-10-06</t>
        </is>
      </c>
      <c r="L35" s="6" t="inlineStr">
        <is>
          <t>2026-09-24</t>
        </is>
      </c>
      <c r="M35" s="6" t="inlineStr">
        <is>
          <t>Assembly bill history: '09/04/2024 signed chap.301'; bill § 2 'shall take effect immediately'. nysenate.gov shows no history note; Art. 17-A was enacted by L.1983, ch. 815 (Court of Appeals, Beck Chevrolet v GM, 2016, citing the bill jacket). A8773 passed the Assembly 6/1/2026 and is in Senate Rules (status checked 10/6/2026); S8360 pending; not law. PENDING, NOT LAW: 2025-26 A8773 (passed Assembly 6/1/2026) / S8360 (Senate Transportation).</t>
        </is>
      </c>
    </row>
    <row r="36">
      <c r="A36" s="6" t="inlineStr">
        <is>
          <t>OH</t>
        </is>
      </c>
      <c r="B36" s="6" t="inlineStr">
        <is>
          <t>Ohio</t>
        </is>
      </c>
      <c r="C36" s="6" t="inlineStr">
        <is>
          <t>Ohio Rev. Code § 4517.52</t>
        </is>
      </c>
      <c r="D36" s="6" t="n">
        <v>2025</v>
      </c>
      <c r="E36" s="6" t="inlineStr">
        <is>
          <t>H.B. 96 (136th General Assembly)</t>
        </is>
      </c>
      <c r="F36" s="6" t="inlineStr">
        <is>
          <t>2025-09-30</t>
        </is>
      </c>
      <c r="G36" s="6" t="n">
        <v>1980</v>
      </c>
      <c r="H36" s="6" t="inlineStr"/>
      <c r="I36" s="6" t="inlineStr"/>
      <c r="J36" s="6" t="inlineStr"/>
      <c r="K36" s="6" t="inlineStr">
        <is>
          <t>2026-09-25</t>
        </is>
      </c>
      <c r="L36" s="6" t="inlineStr">
        <is>
          <t>2026-09-24</t>
        </is>
      </c>
      <c r="M36" s="6" t="inlineStr">
        <is>
          <t>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is>
      </c>
    </row>
    <row r="37">
      <c r="A37" s="6" t="inlineStr">
        <is>
          <t>OK</t>
        </is>
      </c>
      <c r="B37" s="6" t="inlineStr">
        <is>
          <t>Oklahoma</t>
        </is>
      </c>
      <c r="C37" s="6" t="inlineStr">
        <is>
          <t>Okla. Stat. tit. 47, § 565(A)(9)(b)</t>
        </is>
      </c>
      <c r="D37" s="6" t="n">
        <v>2025</v>
      </c>
      <c r="E37" s="6" t="inlineStr">
        <is>
          <t>Laws 2025, c. 119, § 4 (HB 2158) and Laws 2025, c. 448, § 6 (HB 2160), both eff. Nov. 1, 2025; codified as two versions (565v1, 565v2)</t>
        </is>
      </c>
      <c r="F37" s="6" t="inlineStr">
        <is>
          <t>2025-11-01</t>
        </is>
      </c>
      <c r="G37" s="6" t="n">
        <v>1953</v>
      </c>
      <c r="H37" s="6" t="inlineStr"/>
      <c r="I37" s="6" t="inlineStr"/>
      <c r="J37" s="6" t="inlineStr"/>
      <c r="K37" s="6" t="inlineStr">
        <is>
          <t>2026-10-06</t>
        </is>
      </c>
      <c r="L37" s="6" t="inlineStr">
        <is>
          <t>2026-09-24</t>
        </is>
      </c>
      <c r="M37" s="6" t="inlineStr">
        <is>
          <t>Enrolled act titles ('Section 565, as last amended by Section 7, Chapter 240, O.S.L. 2024') and effective-date sections (HB 2158 § 5, HB 2160 § 9: 'This act shall become effective November 1, 2025'). Bill status pages were checked. Codified history note (Justia 2025 Okla. Stat., 565v1/565v2): added Laws 1953, p. 182, § 5; last amended Laws 2025 c. 119 § 4 and c. 448 § 6, eff. 11/1/2025. Year the warranty paragraph was first added not identified. 2026 SB 604 (approved 5/20/2026, eff. 11/1/2026) amends/merges only §§ 562 and 565.2.</t>
        </is>
      </c>
    </row>
    <row r="38">
      <c r="A38" s="6" t="inlineStr">
        <is>
          <t>OR</t>
        </is>
      </c>
      <c r="B38" s="6" t="inlineStr">
        <is>
          <t>Oregon</t>
        </is>
      </c>
      <c r="C38" s="6" t="inlineStr">
        <is>
          <t>Or. Rev. Stat. § 650.158</t>
        </is>
      </c>
      <c r="D38" s="6" t="n">
        <v>2025</v>
      </c>
      <c r="E38" s="6" t="inlineStr">
        <is>
          <t>Or. Laws 2025, ch. 50, § 5 (HB 2127)</t>
        </is>
      </c>
      <c r="F38" s="6" t="inlineStr">
        <is>
          <t>2026-01-01</t>
        </is>
      </c>
      <c r="G38" s="6" t="n">
        <v>1991</v>
      </c>
      <c r="H38" s="6" t="inlineStr"/>
      <c r="I38" s="6" t="inlineStr"/>
      <c r="J38" s="6" t="inlineStr"/>
      <c r="K38" s="6" t="inlineStr">
        <is>
          <t>2026-09-25</t>
        </is>
      </c>
      <c r="L38" s="6" t="inlineStr">
        <is>
          <t>2026-09-24</t>
        </is>
      </c>
      <c r="M38" s="6" t="inlineStr">
        <is>
          <t>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is>
      </c>
    </row>
    <row r="39">
      <c r="A39" s="6" t="inlineStr">
        <is>
          <t>PA</t>
        </is>
      </c>
      <c r="B39" s="6" t="inlineStr">
        <is>
          <t>Pennsylvania</t>
        </is>
      </c>
      <c r="C39" s="6" t="inlineStr">
        <is>
          <t>BOVA § 307, 63 P.S. § 818.307</t>
        </is>
      </c>
      <c r="D39" s="6" t="n">
        <v>2018</v>
      </c>
      <c r="E39" s="6" t="inlineStr">
        <is>
          <t>Act of Oct. 24, 2018, P.L. 816, No. 134 (SB 764)</t>
        </is>
      </c>
      <c r="F39" s="6" t="inlineStr">
        <is>
          <t>2019-10-24</t>
        </is>
      </c>
      <c r="G39" s="6" t="n">
        <v>1983</v>
      </c>
      <c r="H39" s="6" t="inlineStr"/>
      <c r="I39" s="6" t="inlineStr"/>
      <c r="J39" s="6" t="inlineStr"/>
      <c r="K39" s="6" t="inlineStr">
        <is>
          <t>2026-10-06</t>
        </is>
      </c>
      <c r="L39" s="6" t="inlineStr">
        <is>
          <t>2026-09-24</t>
        </is>
      </c>
      <c r="M39" s="6" t="inlineStr">
        <is>
          <t>Official in-text notes: '((4) amended Oct. 24, 2018, P.L.816, No.134)', '((ii) amended Oct. 24, 2018 ...)', '((g) added Oct. 24, 2018 ...)', '(307 renumbered from 9 ...)'. Act 134 § 25: 'This act shall take effect in 365 days' (approved 10/24/2018). Originally § 9 of Act 84 of 1983 (Dec. 22, 1983, P.L. 306). Act 51 of 2026 (SB 1353, approved 7/20/2026, effective immediately) amended §§ 102, 310(d), 311(b), 326(b)(4) only, not § 307. SB 1182 (2025-26) is pending in House Commerce (hearing listed 10/5/2026); not law.</t>
        </is>
      </c>
    </row>
    <row r="40">
      <c r="A40" s="6" t="inlineStr">
        <is>
          <t>RI</t>
        </is>
      </c>
      <c r="B40" s="6" t="inlineStr">
        <is>
          <t>Rhode Island</t>
        </is>
      </c>
      <c r="C40" s="6" t="inlineStr">
        <is>
          <t>R.I. Gen. Laws § 31-5.1-6</t>
        </is>
      </c>
      <c r="D40" s="6" t="n">
        <v>2026</v>
      </c>
      <c r="E40" s="6" t="inlineStr">
        <is>
          <t>P.L. 2026, ch. 179 (H 8213 Sub A) and ch. 180 (S 2347 Sub A), enacted 6/22/2026</t>
        </is>
      </c>
      <c r="F40" s="6" t="inlineStr">
        <is>
          <t>2026-10-01</t>
        </is>
      </c>
      <c r="G40" s="6" t="n">
        <v>1974</v>
      </c>
      <c r="H40" s="6" t="inlineStr"/>
      <c r="I40" s="6" t="inlineStr"/>
      <c r="J40" s="6" t="inlineStr"/>
      <c r="K40" s="6" t="inlineStr">
        <is>
          <t>2026-10-06</t>
        </is>
      </c>
      <c r="L40" s="6" t="inlineStr">
        <is>
          <t>2026-09-24</t>
        </is>
      </c>
      <c r="M40" s="6" t="inlineStr">
        <is>
          <t>Official history note: 'P.L. 1974, ch. 292, § 1; ... P.L. 2014, ch. 397, § 1; P.L. 2018, ch. 127, § 1; P.L. 2018, ch. 266, § 1.' Public-law pages: ch. 127 and ch. 266 'Enacted 07/02/2018', 'take effect upon passage'. 2026 ch. 179/180: 'Enacted 06/22/2026', 'take effect on October 1, 2026'.</t>
        </is>
      </c>
    </row>
    <row r="41">
      <c r="A41" s="6" t="inlineStr">
        <is>
          <t>SC</t>
        </is>
      </c>
      <c r="B41" s="6" t="inlineStr">
        <is>
          <t>South Carolina</t>
        </is>
      </c>
      <c r="C41" s="6" t="inlineStr">
        <is>
          <t>S.C. Code Ann. § 56-15-60</t>
        </is>
      </c>
      <c r="D41" s="6" t="n">
        <v>2021</v>
      </c>
      <c r="E41" s="6" t="inlineStr">
        <is>
          <t>2021 Act No. 31 (S.510), § 8</t>
        </is>
      </c>
      <c r="F41" s="6" t="inlineStr">
        <is>
          <t>2021-08-04</t>
        </is>
      </c>
      <c r="G41" s="6" t="n">
        <v>1972</v>
      </c>
      <c r="H41" s="6" t="inlineStr"/>
      <c r="I41" s="6" t="inlineStr"/>
      <c r="J41" s="6" t="inlineStr"/>
      <c r="K41" s="6" t="inlineStr">
        <is>
          <t>2026-09-25</t>
        </is>
      </c>
      <c r="L41" s="6" t="inlineStr">
        <is>
          <t>2026-09-24</t>
        </is>
      </c>
      <c r="M41" s="6" t="inlineStr">
        <is>
          <t>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is>
      </c>
    </row>
    <row r="42">
      <c r="A42" s="6" t="inlineStr">
        <is>
          <t>SD</t>
        </is>
      </c>
      <c r="B42" s="6" t="inlineStr">
        <is>
          <t>South Dakota</t>
        </is>
      </c>
      <c r="C42" s="6" t="inlineStr">
        <is>
          <t>S.D. Codified Laws §§ 32-6B-58, 32-6B-61</t>
        </is>
      </c>
      <c r="D42" s="6" t="n">
        <v>2023</v>
      </c>
      <c r="E42" s="6" t="inlineStr">
        <is>
          <t>SL 2023, ch 100 (SB 159), §§ 4 and 6 (also added §§ 32-6B-58.2, -58.3)</t>
        </is>
      </c>
      <c r="F42" s="6" t="inlineStr">
        <is>
          <t>2023-07-01</t>
        </is>
      </c>
      <c r="G42" s="6" t="n">
        <v>1986</v>
      </c>
      <c r="H42" s="6" t="inlineStr"/>
      <c r="I42" s="6" t="inlineStr"/>
      <c r="J42" s="6" t="inlineStr"/>
      <c r="K42" s="6" t="inlineStr">
        <is>
          <t>2026-09-25</t>
        </is>
      </c>
      <c r="L42" s="6" t="inlineStr">
        <is>
          <t>2026-09-24</t>
        </is>
      </c>
      <c r="M42" s="6" t="inlineStr">
        <is>
          <t>Official 'Source:' notes: § 32-6B-58 'SL 1986, ch 250, § 59; ... SL 2023, ch 100, § 4'; § 32-6B-61 'SL 1990, ch 245, § 2; SL 2010, ch 156, § 14; SL 2023, ch 100, § 6'. Session law ch 100 read (signed March 23, 2023; no emergency clause, so SD default July 1 effective date). § 32-6B-61 itself dates from 1990.</t>
        </is>
      </c>
    </row>
    <row r="43">
      <c r="A43" s="6" t="inlineStr">
        <is>
          <t>TN</t>
        </is>
      </c>
      <c r="B43" s="6" t="inlineStr">
        <is>
          <t>Tennessee</t>
        </is>
      </c>
      <c r="C43" s="6" t="inlineStr">
        <is>
          <t>Tenn. Code Ann. § 55-17-121</t>
        </is>
      </c>
      <c r="D43" s="6" t="n">
        <v>2021</v>
      </c>
      <c r="E43" s="6" t="inlineStr">
        <is>
          <t>2021 SB 1615, Pub. Ch. 277, § 1 (added subsection (d))</t>
        </is>
      </c>
      <c r="F43" s="6" t="inlineStr">
        <is>
          <t>2021-07-01</t>
        </is>
      </c>
      <c r="G43" s="6" t="n">
        <v>1977</v>
      </c>
      <c r="H43" s="6" t="inlineStr"/>
      <c r="I43" s="6" t="inlineStr"/>
      <c r="J43" s="6" t="inlineStr"/>
      <c r="K43" s="6" t="inlineStr">
        <is>
          <t>2026-10-06</t>
        </is>
      </c>
      <c r="L43" s="6" t="inlineStr">
        <is>
          <t>2026-09-24</t>
        </is>
      </c>
      <c r="M43" s="6" t="inlineStr">
        <is>
          <t>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is>
      </c>
    </row>
    <row r="44">
      <c r="A44" s="6" t="inlineStr">
        <is>
          <t>TX</t>
        </is>
      </c>
      <c r="B44" s="6" t="inlineStr">
        <is>
          <t>Texas</t>
        </is>
      </c>
      <c r="C44" s="6" t="inlineStr">
        <is>
          <t>Tex. Occ. Code § 2301.402</t>
        </is>
      </c>
      <c r="D44" s="6" t="n">
        <v>2001</v>
      </c>
      <c r="E44" s="6" t="inlineStr">
        <is>
          <t>Acts 2001, 77th Leg., ch. 1421, § 5 (codification into Occupations Code; §§ 2301.402-.406 never amended since)</t>
        </is>
      </c>
      <c r="F44" s="6" t="inlineStr">
        <is>
          <t>2003-06-01</t>
        </is>
      </c>
      <c r="G44" s="6" t="n">
        <v>2001</v>
      </c>
      <c r="H44" s="6" t="inlineStr"/>
      <c r="I44" s="6" t="inlineStr"/>
      <c r="J44" s="6" t="inlineStr"/>
      <c r="K44" s="6" t="inlineStr">
        <is>
          <t>2026-10-06</t>
        </is>
      </c>
      <c r="L44" s="6" t="inlineStr">
        <is>
          <t>2026-09-24</t>
        </is>
      </c>
      <c r="M44" s="6" t="inlineStr">
        <is>
          <t>Section credits on official chapter file ('Added by Acts 2001, 77th Leg., ch. 1421, Sec. 5, eff. June 1, 2003', no 'Amended by'). 89th Leg. (2025) SB 1917 / HB 3859 (dealer reimbursement rewrite) died (left pending / withdrawn from schedule) per capitol.texas.gov history.</t>
        </is>
      </c>
    </row>
    <row r="45">
      <c r="A45" s="6" t="inlineStr">
        <is>
          <t>UT</t>
        </is>
      </c>
      <c r="B45" s="6" t="inlineStr">
        <is>
          <t>Utah</t>
        </is>
      </c>
      <c r="C45" s="6" t="inlineStr">
        <is>
          <t>Utah Code § 13-14-204</t>
        </is>
      </c>
      <c r="D45" s="6" t="n">
        <v>2023</v>
      </c>
      <c r="E45" s="6" t="inlineStr">
        <is>
          <t>2023 S.B. 90 'Automobile Franchise Amendments', Laws of Utah 2023, ch. 240</t>
        </is>
      </c>
      <c r="F45" s="6" t="inlineStr">
        <is>
          <t>2023-05-03</t>
        </is>
      </c>
      <c r="G45" s="6" t="inlineStr"/>
      <c r="H45" s="6" t="inlineStr"/>
      <c r="I45" s="6" t="inlineStr"/>
      <c r="J45" s="6" t="inlineStr"/>
      <c r="K45" s="6" t="inlineStr">
        <is>
          <t>2026-10-06</t>
        </is>
      </c>
      <c r="L45" s="6" t="inlineStr">
        <is>
          <t>2026-09-24</t>
        </is>
      </c>
      <c r="M45" s="6" t="inlineStr">
        <is>
          <t>Official section page ('Amended by Chapter 240, 2023 General Session'; current version effective 5/3/2023, re-checked 2026-09-25); enrolled S.B. 90 lists § 13-14-204 'as last amended by Laws of Utah 2022, Chapter 455'. Original enactment year not shown on official page (not determined).</t>
        </is>
      </c>
    </row>
    <row r="46">
      <c r="A46" s="6" t="inlineStr">
        <is>
          <t>VA</t>
        </is>
      </c>
      <c r="B46" s="6" t="inlineStr">
        <is>
          <t>Virginia</t>
        </is>
      </c>
      <c r="C46" s="6" t="inlineStr">
        <is>
          <t>Va. Code Ann. § 46.2-1571</t>
        </is>
      </c>
      <c r="D46" s="6" t="n">
        <v>2025</v>
      </c>
      <c r="E46" s="6" t="inlineStr">
        <is>
          <t>2025 Acts chs. 546 (HB 1683) and 558 (SB 1308)</t>
        </is>
      </c>
      <c r="F46" s="6" t="inlineStr">
        <is>
          <t>2025-07-01</t>
        </is>
      </c>
      <c r="G46" s="6" t="n">
        <v>1988</v>
      </c>
      <c r="H46" s="6" t="inlineStr"/>
      <c r="I46" s="6" t="inlineStr"/>
      <c r="J46" s="6" t="inlineStr"/>
      <c r="K46" s="6" t="inlineStr">
        <is>
          <t>2026-09-25</t>
        </is>
      </c>
      <c r="L46" s="6" t="inlineStr">
        <is>
          <t>2026-09-24</t>
        </is>
      </c>
      <c r="M46" s="6" t="inlineStr">
        <is>
          <t>Official history line ('1988, c. 865, § 46.1-550.5:30; ... 2023, cc. 310, 311; 2025, cc. 546, 558'); enrolled ch. 558 PDF (approved March 24, 2025) read, including strike-through; LIS 2026 Title 46.2 updates list does not include § 46.2-1571.</t>
        </is>
      </c>
    </row>
    <row r="47">
      <c r="A47" s="6" t="inlineStr">
        <is>
          <t>VT</t>
        </is>
      </c>
      <c r="B47" s="6" t="inlineStr">
        <is>
          <t>Vermont</t>
        </is>
      </c>
      <c r="C47" s="6" t="inlineStr">
        <is>
          <t>9 V.S.A. § 4086</t>
        </is>
      </c>
      <c r="D47" s="6" t="n">
        <v>2021</v>
      </c>
      <c r="E47" s="6" t="inlineStr">
        <is>
          <t>2021, No. 63, § 3 (S.47)</t>
        </is>
      </c>
      <c r="F47" s="6" t="inlineStr">
        <is>
          <t>2021-06-07</t>
        </is>
      </c>
      <c r="G47" s="6" t="n">
        <v>1982</v>
      </c>
      <c r="H47" s="6" t="inlineStr"/>
      <c r="I47" s="6" t="inlineStr"/>
      <c r="J47" s="6" t="inlineStr"/>
      <c r="K47" s="6" t="inlineStr">
        <is>
          <t>2026-09-25</t>
        </is>
      </c>
      <c r="L47" s="6" t="inlineStr">
        <is>
          <t>2026-09-24</t>
        </is>
      </c>
      <c r="M47" s="6" t="inlineStr">
        <is>
          <t>Section credit on official site: 'Added 1981, No. 157 (Adj. Sess.), § 1, eff. April 14, 1982; amended 1989, No. 217 (Adj. Sess.); 2009, No. 57, § 1, eff. June 1, 2009; 2021, No. 63, § 3, eff. June 7, 2021.' No later act found.</t>
        </is>
      </c>
    </row>
    <row r="48">
      <c r="A48" s="6" t="inlineStr">
        <is>
          <t>WA</t>
        </is>
      </c>
      <c r="B48" s="6" t="inlineStr">
        <is>
          <t>Washington</t>
        </is>
      </c>
      <c r="C48" s="6" t="inlineStr">
        <is>
          <t>RCW 46.96.105</t>
        </is>
      </c>
      <c r="D48" s="6" t="n">
        <v>2014</v>
      </c>
      <c r="E48" s="6" t="inlineStr">
        <is>
          <t>2014 c 214 s 6</t>
        </is>
      </c>
      <c r="F48" s="6" t="inlineStr">
        <is>
          <t>2014-06-12</t>
        </is>
      </c>
      <c r="G48" s="6" t="n">
        <v>1998</v>
      </c>
      <c r="H48" s="6" t="inlineStr"/>
      <c r="I48" s="6" t="inlineStr"/>
      <c r="J48" s="6" t="inlineStr"/>
      <c r="K48" s="6" t="inlineStr">
        <is>
          <t>2026-10-06</t>
        </is>
      </c>
      <c r="L48" s="6" t="inlineStr">
        <is>
          <t>2026-09-24</t>
        </is>
      </c>
      <c r="M48" s="6" t="inlineStr">
        <is>
          <t>Official RCW history '[2014 c 214 s 6; 2010 c 178 s 4; 2003 c 21 s 2; 1998 c 298 s 1.]'; 2014 c 214 s 9 application note (RCW 46.70.045) references June 12, 2014. Later acts (2024 c 87; 2026 c 186) amended other sections.</t>
        </is>
      </c>
    </row>
    <row r="49">
      <c r="A49" s="6" t="inlineStr">
        <is>
          <t>WI</t>
        </is>
      </c>
      <c r="B49" s="6" t="inlineStr">
        <is>
          <t>Wisconsin</t>
        </is>
      </c>
      <c r="C49" s="6" t="inlineStr">
        <is>
          <t>Wis. Stat. § 218.0125</t>
        </is>
      </c>
      <c r="D49" s="6" t="n">
        <v>2018</v>
      </c>
      <c r="E49" s="6" t="inlineStr">
        <is>
          <t>2017 Wis. Act 235, § 2 (amended sub. (7) cross-reference only)</t>
        </is>
      </c>
      <c r="F49" s="6" t="inlineStr">
        <is>
          <t>2018-04-05</t>
        </is>
      </c>
      <c r="G49" s="6" t="n">
        <v>1999</v>
      </c>
      <c r="H49" s="6" t="inlineStr"/>
      <c r="I49" s="6" t="inlineStr"/>
      <c r="J49" s="6" t="inlineStr"/>
      <c r="K49" s="6" t="inlineStr">
        <is>
          <t>2026-10-06</t>
        </is>
      </c>
      <c r="L49" s="6" t="inlineStr">
        <is>
          <t>2026-09-24</t>
        </is>
      </c>
      <c r="M49" s="6" t="inlineStr">
        <is>
          <t>Official history note '1999 a. 31 ss. 114 to 121; 2011 a. 91; 2015 a. 171; 2017 a. 235'. Act 235 page: enacted April 3, 2018, published April 4, 2018; effective day after publication (s. 991.11). 2015 Act 171 amended (3m)(b). 1999 Act 31 renumbered the provision from former s. 218.01.</t>
        </is>
      </c>
    </row>
    <row r="50">
      <c r="A50" s="6" t="inlineStr">
        <is>
          <t>WV</t>
        </is>
      </c>
      <c r="B50" s="6" t="inlineStr">
        <is>
          <t>West Virginia</t>
        </is>
      </c>
      <c r="C50" s="6" t="inlineStr">
        <is>
          <t>W. Va. Code § 17A-6A-8a</t>
        </is>
      </c>
      <c r="D50" s="6" t="n">
        <v>2024</v>
      </c>
      <c r="E50" s="6" t="inlineStr">
        <is>
          <t>2024 SB 173 (Acts 2024, ch. 184)</t>
        </is>
      </c>
      <c r="F50" s="6" t="inlineStr">
        <is>
          <t>2024-06-05</t>
        </is>
      </c>
      <c r="G50" s="6" t="n">
        <v>1990</v>
      </c>
      <c r="H50" s="6" t="inlineStr"/>
      <c r="I50" s="6" t="inlineStr"/>
      <c r="J50" s="6" t="inlineStr"/>
      <c r="K50" s="6" t="inlineStr">
        <is>
          <t>2026-10-06</t>
        </is>
      </c>
      <c r="L50" s="6" t="inlineStr">
        <is>
          <t>2026-09-24</t>
        </is>
      </c>
      <c r="M50" s="6" t="inlineStr">
        <is>
          <t>Official code page bill history (1990 HB4542 ... 2022 HB4560; 2024 SB173; 2023 SB462 listed but not a signed bill); SB 173 status: passed March 7, 2024, approved 3/13/2024, 'Effective Ninety Days from Passage - (June 5, 2024)'. SB 173 also amended § 17A-6A-10.</t>
        </is>
      </c>
    </row>
    <row r="51">
      <c r="A51" s="6" t="inlineStr">
        <is>
          <t>WY</t>
        </is>
      </c>
      <c r="B51" s="6" t="inlineStr">
        <is>
          <t>Wyoming</t>
        </is>
      </c>
      <c r="C51" s="6" t="inlineStr">
        <is>
          <t>Wyo. Stat. Ann. § 31-16-117</t>
        </is>
      </c>
      <c r="D51" s="6" t="n">
        <v>2025</v>
      </c>
      <c r="E51" s="6" t="inlineStr">
        <is>
          <t>2025 SF0106, Enrolled Act No. 44 (amended (b), (d); created (f)-(t))</t>
        </is>
      </c>
      <c r="F51" s="6" t="inlineStr">
        <is>
          <t>2025-07-01</t>
        </is>
      </c>
      <c r="G51" s="6" t="inlineStr"/>
      <c r="H51" s="6" t="inlineStr"/>
      <c r="I51" s="6" t="inlineStr"/>
      <c r="J51" s="6" t="inlineStr"/>
      <c r="K51" s="6" t="inlineStr">
        <is>
          <t>2026-09-25</t>
        </is>
      </c>
      <c r="L51" s="6" t="inlineStr">
        <is>
          <t>2026-09-24</t>
        </is>
      </c>
      <c r="M51" s="6" t="inlineStr">
        <is>
          <t>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is>
      </c>
    </row>
  </sheetData>
  <autoFilter ref="A1:M5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20" customWidth="1" min="3" max="3"/>
    <col width="26" customWidth="1" min="4" max="4"/>
    <col width="60" customWidth="1" min="5" max="5"/>
    <col width="40" customWidth="1" min="6" max="6"/>
    <col width="40" customWidth="1" min="7" max="7"/>
    <col width="16" customWidth="1" min="8" max="8"/>
    <col width="40" customWidth="1" min="9" max="9"/>
    <col width="50" customWidth="1" min="10" max="10"/>
  </cols>
  <sheetData>
    <row r="1" ht="32" customHeight="1">
      <c r="A1" s="4" t="inlineStr">
        <is>
          <t>State</t>
        </is>
      </c>
      <c r="B1" s="4" t="inlineStr">
        <is>
          <t>Name</t>
        </is>
      </c>
      <c r="C1" s="4" t="inlineStr">
        <is>
          <t>Rules come from</t>
        </is>
      </c>
      <c r="D1" s="4" t="inlineStr">
        <is>
          <t>Statute</t>
        </is>
      </c>
      <c r="E1" s="4" t="inlineStr">
        <is>
          <t>Agency rule that adds a warranty rule</t>
        </is>
      </c>
      <c r="F1" s="4" t="inlineStr">
        <is>
          <t>Agency</t>
        </is>
      </c>
      <c r="G1" s="4" t="inlineStr">
        <is>
          <t>Agency website</t>
        </is>
      </c>
      <c r="H1" s="4" t="inlineStr">
        <is>
          <t>Dispute forum type</t>
        </is>
      </c>
      <c r="I1" s="4" t="inlineStr">
        <is>
          <t>Where disputes go</t>
        </is>
      </c>
      <c r="J1" s="4" t="inlineStr">
        <is>
          <t>Statute source</t>
        </is>
      </c>
    </row>
    <row r="2">
      <c r="A2" s="6" t="inlineStr">
        <is>
          <t>AK</t>
        </is>
      </c>
      <c r="B2" s="6" t="inlineStr">
        <is>
          <t>Alaska</t>
        </is>
      </c>
      <c r="C2" s="6" t="inlineStr">
        <is>
          <t>Statute</t>
        </is>
      </c>
      <c r="D2" s="6" t="inlineStr">
        <is>
          <t>AS 45.25.210</t>
        </is>
      </c>
      <c r="E2" s="6" t="inlineStr"/>
      <c r="F2" s="6" t="inlineStr">
        <is>
          <t>None for franchise matters (DMV licenses dealers)</t>
        </is>
      </c>
      <c r="G2" s="6" t="inlineStr">
        <is>
          <t>https://dmv.alaska.gov/</t>
        </is>
      </c>
      <c r="H2" s="6" t="inlineStr">
        <is>
          <t>Court</t>
        </is>
      </c>
      <c r="I2" s="6" t="inlineStr">
        <is>
          <t>Court</t>
        </is>
      </c>
      <c r="J2" s="6" t="inlineStr">
        <is>
          <t>https://www.akleg.gov/basis/statutes.asp?media=print&amp;secStart=45.25.200&amp;secEnd=45.25.320</t>
        </is>
      </c>
    </row>
    <row r="3">
      <c r="A3" s="6" t="inlineStr">
        <is>
          <t>AL</t>
        </is>
      </c>
      <c r="B3" s="6" t="inlineStr">
        <is>
          <t>Alabama</t>
        </is>
      </c>
      <c r="C3" s="6" t="inlineStr">
        <is>
          <t>Statute</t>
        </is>
      </c>
      <c r="D3" s="6" t="inlineStr">
        <is>
          <t>Ala. Code § 8-20-7</t>
        </is>
      </c>
      <c r="E3" s="6" t="inlineStr"/>
      <c r="F3" s="6" t="inlineStr">
        <is>
          <t>None for franchise matters (Dept. of Revenue licenses dealers)</t>
        </is>
      </c>
      <c r="G3" s="6" t="inlineStr">
        <is>
          <t>https://www.revenue.alabama.gov/division/motor-vehicle/</t>
        </is>
      </c>
      <c r="H3" s="6" t="inlineStr">
        <is>
          <t>Court</t>
        </is>
      </c>
      <c r="I3" s="6" t="inlineStr">
        <is>
          <t>Court</t>
        </is>
      </c>
      <c r="J3" s="6" t="inlineStr">
        <is>
          <t>https://alison.legislature.state.al.us/code-of-alabama?section=8-20-7</t>
        </is>
      </c>
    </row>
    <row r="4">
      <c r="A4" s="6" t="inlineStr">
        <is>
          <t>AR</t>
        </is>
      </c>
      <c r="B4" s="6" t="inlineStr">
        <is>
          <t>Arkansas</t>
        </is>
      </c>
      <c r="C4" s="6" t="inlineStr">
        <is>
          <t>Statute</t>
        </is>
      </c>
      <c r="D4" s="6" t="inlineStr">
        <is>
          <t>Ark. Code Ann. § 23-112-313</t>
        </is>
      </c>
      <c r="E4" s="6" t="inlineStr"/>
      <c r="F4" s="6" t="inlineStr">
        <is>
          <t>Motor Vehicle Commission</t>
        </is>
      </c>
      <c r="G4" s="6" t="inlineStr">
        <is>
          <t>https://labor.arkansas.gov/licensing/motor-vehicle-commission/</t>
        </is>
      </c>
      <c r="H4" s="6" t="inlineStr">
        <is>
          <t>Agency or court</t>
        </is>
      </c>
      <c r="I4" s="6" t="inlineStr">
        <is>
          <t>Commission (chargeback appeals) or court</t>
        </is>
      </c>
      <c r="J4" s="6" t="inlineStr">
        <is>
          <t>https://arkleg.state.ar.us/Acts/FTPDocument?path=%2FACTS%2F2021R%2FPublic%2F&amp;file=1077.pdf&amp;ddBienniumSession=2021%2F2021R</t>
        </is>
      </c>
    </row>
    <row r="5">
      <c r="A5" s="6" t="inlineStr">
        <is>
          <t>AZ</t>
        </is>
      </c>
      <c r="B5" s="6" t="inlineStr">
        <is>
          <t>Arizona</t>
        </is>
      </c>
      <c r="C5" s="6" t="inlineStr">
        <is>
          <t>Statute</t>
        </is>
      </c>
      <c r="D5" s="6" t="inlineStr">
        <is>
          <t>A.R.S. § 28-4451</t>
        </is>
      </c>
      <c r="E5" s="6" t="inlineStr"/>
      <c r="F5" s="6" t="inlineStr">
        <is>
          <t>ADOT Motor Vehicle Division</t>
        </is>
      </c>
      <c r="G5" s="6" t="inlineStr">
        <is>
          <t>https://azdot.gov/motor-vehicles</t>
        </is>
      </c>
      <c r="H5" s="6" t="inlineStr">
        <is>
          <t>Agency</t>
        </is>
      </c>
      <c r="I5" s="6" t="inlineStr">
        <is>
          <t>ADOT director (administrative law judge hearing)</t>
        </is>
      </c>
      <c r="J5" s="6" t="inlineStr">
        <is>
          <t>https://www.azleg.gov/ars/28/04451.htm</t>
        </is>
      </c>
    </row>
    <row r="6">
      <c r="A6" s="6" t="inlineStr">
        <is>
          <t>CA</t>
        </is>
      </c>
      <c r="B6" s="6" t="inlineStr">
        <is>
          <t>California</t>
        </is>
      </c>
      <c r="C6" s="6" t="inlineStr">
        <is>
          <t>Statute + agency rule</t>
        </is>
      </c>
      <c r="D6" s="6" t="inlineStr">
        <is>
          <t>Cal. Veh. Code § 3065</t>
        </is>
      </c>
      <c r="E6" s="6" t="inlineStr">
        <is>
          <t>New Motor Vehicle Board rule: franchisors must file warranty reimbursement schedules and changes with the Board (13 CCR § 586(b)-(c)).</t>
        </is>
      </c>
      <c r="F6" s="6" t="inlineStr">
        <is>
          <t>New Motor Vehicle Board (DMV licenses)</t>
        </is>
      </c>
      <c r="G6" s="6" t="inlineStr">
        <is>
          <t>https://www.nmvb.ca.gov/</t>
        </is>
      </c>
      <c r="H6" s="6" t="inlineStr">
        <is>
          <t>Agency</t>
        </is>
      </c>
      <c r="I6" s="6" t="inlineStr">
        <is>
          <t>New Motor Vehicle Board</t>
        </is>
      </c>
      <c r="J6" s="6" t="inlineStr">
        <is>
          <t>https://leginfo.legislature.ca.gov/faces/codes_displaySection.xhtml?lawCode=VEH&amp;sectionNum=3065</t>
        </is>
      </c>
    </row>
    <row r="7">
      <c r="A7" s="6" t="inlineStr">
        <is>
          <t>CO</t>
        </is>
      </c>
      <c r="B7" s="6" t="inlineStr">
        <is>
          <t>Colorado</t>
        </is>
      </c>
      <c r="C7" s="6" t="inlineStr">
        <is>
          <t>Statute</t>
        </is>
      </c>
      <c r="D7" s="6" t="inlineStr">
        <is>
          <t>C.R.S. § 44-20-141.5</t>
        </is>
      </c>
      <c r="E7" s="6" t="inlineStr"/>
      <c r="F7" s="6" t="inlineStr">
        <is>
          <t>Dept. of Revenue (Executive Director)</t>
        </is>
      </c>
      <c r="G7" s="6" t="inlineStr">
        <is>
          <t>https://sbg.colorado.gov/auto-industry</t>
        </is>
      </c>
      <c r="H7" s="6" t="inlineStr">
        <is>
          <t>Agency or court</t>
        </is>
      </c>
      <c r="I7" s="6" t="inlineStr">
        <is>
          <t>DOR executive director or court</t>
        </is>
      </c>
      <c r="J7" s="6" t="inlineStr">
        <is>
          <t>https://content.leg.colorado.gov/sites/default/files/2023a_078_signed.pdf</t>
        </is>
      </c>
    </row>
    <row r="8">
      <c r="A8" s="6" t="inlineStr">
        <is>
          <t>CT</t>
        </is>
      </c>
      <c r="B8" s="6" t="inlineStr">
        <is>
          <t>Connecticut</t>
        </is>
      </c>
      <c r="C8" s="6" t="inlineStr">
        <is>
          <t>Statute</t>
        </is>
      </c>
      <c r="D8" s="6" t="inlineStr">
        <is>
          <t>Conn. Gen. Stat. § 42-133s</t>
        </is>
      </c>
      <c r="E8" s="6" t="inlineStr"/>
      <c r="F8" s="6" t="inlineStr">
        <is>
          <t>DMV Commissioner</t>
        </is>
      </c>
      <c r="G8" s="6" t="inlineStr">
        <is>
          <t>https://portal.ct.gov/dmv</t>
        </is>
      </c>
      <c r="H8" s="6" t="inlineStr">
        <is>
          <t>Agency</t>
        </is>
      </c>
      <c r="I8" s="6" t="inlineStr">
        <is>
          <t>DMV Commissioner</t>
        </is>
      </c>
      <c r="J8" s="6" t="inlineStr">
        <is>
          <t>https://www.cga.ct.gov/current/pub/chap_739.htm</t>
        </is>
      </c>
    </row>
    <row r="9">
      <c r="A9" s="6" t="inlineStr">
        <is>
          <t>DE</t>
        </is>
      </c>
      <c r="B9" s="6" t="inlineStr">
        <is>
          <t>Delaware</t>
        </is>
      </c>
      <c r="C9" s="6" t="inlineStr">
        <is>
          <t>Statute</t>
        </is>
      </c>
      <c r="D9" s="6" t="inlineStr">
        <is>
          <t>6 Del. C. § 4903</t>
        </is>
      </c>
      <c r="E9" s="6" t="inlineStr"/>
      <c r="F9" s="6" t="inlineStr">
        <is>
          <t>Public Service Commission (DMV licenses dealers)</t>
        </is>
      </c>
      <c r="G9" s="6" t="inlineStr">
        <is>
          <t>https://depsc.delaware.gov/</t>
        </is>
      </c>
      <c r="H9" s="6" t="inlineStr">
        <is>
          <t>Agency</t>
        </is>
      </c>
      <c r="I9" s="6" t="inlineStr">
        <is>
          <t>Public Service Commission</t>
        </is>
      </c>
      <c r="J9" s="6" t="inlineStr">
        <is>
          <t>https://delcode.delaware.gov/title6/c049/index.html</t>
        </is>
      </c>
    </row>
    <row r="10">
      <c r="A10" s="6" t="inlineStr">
        <is>
          <t>FL</t>
        </is>
      </c>
      <c r="B10" s="6" t="inlineStr">
        <is>
          <t>Florida</t>
        </is>
      </c>
      <c r="C10" s="6" t="inlineStr">
        <is>
          <t>Statute</t>
        </is>
      </c>
      <c r="D10" s="6" t="inlineStr">
        <is>
          <t>Fla. Stat. § 320.696</t>
        </is>
      </c>
      <c r="E10" s="6" t="inlineStr"/>
      <c r="F10" s="6" t="inlineStr">
        <is>
          <t>Dept. of Highway Safety and Motor Vehicles</t>
        </is>
      </c>
      <c r="G10" s="6" t="inlineStr">
        <is>
          <t>https://www.flhsmv.gov/</t>
        </is>
      </c>
      <c r="H10" s="6" t="inlineStr">
        <is>
          <t>Agency or court</t>
        </is>
      </c>
      <c r="I10" s="6" t="inlineStr">
        <is>
          <t>DHSMV proceeding or court</t>
        </is>
      </c>
      <c r="J10" s="6" t="inlineStr">
        <is>
          <t>http://www.leg.state.fl.us/statutes/index.cfm?App_mode=Display_Statute&amp;URL=0300-0399/0320/Sections/0320.696.html</t>
        </is>
      </c>
    </row>
    <row r="11">
      <c r="A11" s="6" t="inlineStr">
        <is>
          <t>GA</t>
        </is>
      </c>
      <c r="B11" s="6" t="inlineStr">
        <is>
          <t>Georgia</t>
        </is>
      </c>
      <c r="C11" s="6" t="inlineStr">
        <is>
          <t>Statute</t>
        </is>
      </c>
      <c r="D11" s="6" t="inlineStr">
        <is>
          <t>O.C.G.A. § 10-1-641</t>
        </is>
      </c>
      <c r="E11" s="6" t="inlineStr"/>
      <c r="F11" s="6" t="inlineStr">
        <is>
          <t>Dept. of Revenue (state revenue commissioner)</t>
        </is>
      </c>
      <c r="G11" s="6" t="inlineStr">
        <is>
          <t>https://dor.georgia.gov/</t>
        </is>
      </c>
      <c r="H11" s="6" t="inlineStr">
        <is>
          <t>Agency</t>
        </is>
      </c>
      <c r="I11" s="6" t="inlineStr">
        <is>
          <t>Revenue commissioner</t>
        </is>
      </c>
      <c r="J11" s="6" t="inlineStr">
        <is>
          <t>https://law.justia.com/codes/georgia/title-10/chapter-1/article-22/part-3/section-10-1-641/</t>
        </is>
      </c>
    </row>
    <row r="12">
      <c r="A12" s="6" t="inlineStr">
        <is>
          <t>HI</t>
        </is>
      </c>
      <c r="B12" s="6" t="inlineStr">
        <is>
          <t>Hawaii</t>
        </is>
      </c>
      <c r="C12" s="6" t="inlineStr">
        <is>
          <t>Statute</t>
        </is>
      </c>
      <c r="D12" s="6" t="inlineStr">
        <is>
          <t>HRS § 437-28(a)(21)(G) (labor rate + 30/30 claim rule) and § 437-56 (claims, parts)</t>
        </is>
      </c>
      <c r="E12" s="6" t="inlineStr"/>
      <c r="F12" s="6" t="inlineStr">
        <is>
          <t>Motor Vehicle Industry Licensing Board (DCCA)</t>
        </is>
      </c>
      <c r="G12" s="6" t="inlineStr">
        <is>
          <t>https://cca.hawaii.gov/pvl/boards/motorvehicle/</t>
        </is>
      </c>
      <c r="H12" s="6" t="inlineStr">
        <is>
          <t>Agency</t>
        </is>
      </c>
      <c r="I12" s="6" t="inlineStr">
        <is>
          <t>DCCA administrative hearing</t>
        </is>
      </c>
      <c r="J12" s="6" t="inlineStr">
        <is>
          <t>https://data.capitol.hawaii.gov/hrscurrent/Vol10_Ch0436-0474/HRS0437/HRS_0437-0056.htm (also HRS_0437-0028.htm, HRS_0437-0057.htm, HRS_0437-0051.htm; legislature data host, files dated 1/5/2026)</t>
        </is>
      </c>
    </row>
    <row r="13">
      <c r="A13" s="6" t="inlineStr">
        <is>
          <t>IA</t>
        </is>
      </c>
      <c r="B13" s="6" t="inlineStr">
        <is>
          <t>Iowa</t>
        </is>
      </c>
      <c r="C13" s="6" t="inlineStr">
        <is>
          <t>Statute</t>
        </is>
      </c>
      <c r="D13" s="6" t="inlineStr">
        <is>
          <t>Iowa Code § 322A.5</t>
        </is>
      </c>
      <c r="E13" s="6" t="inlineStr"/>
      <c r="F13" s="6" t="inlineStr">
        <is>
          <t>Iowa DOT, Motor Vehicle Division</t>
        </is>
      </c>
      <c r="G13" s="6" t="inlineStr">
        <is>
          <t>https://iowadot.gov/dmv-services</t>
        </is>
      </c>
      <c r="H13" s="6" t="inlineStr">
        <is>
          <t>Agency</t>
        </is>
      </c>
      <c r="I13" s="6" t="inlineStr">
        <is>
          <t>DOT contested case</t>
        </is>
      </c>
      <c r="J13" s="6" t="inlineStr">
        <is>
          <t>https://www.legis.iowa.gov/docs/code/322A.pdf (Iowa Code 2026; ch. 322 at https://www.legis.iowa.gov/docs/code/322.pdf)</t>
        </is>
      </c>
    </row>
    <row r="14">
      <c r="A14" s="6" t="inlineStr">
        <is>
          <t>ID</t>
        </is>
      </c>
      <c r="B14" s="6" t="inlineStr">
        <is>
          <t>Idaho</t>
        </is>
      </c>
      <c r="C14" s="6" t="inlineStr">
        <is>
          <t>Statute</t>
        </is>
      </c>
      <c r="D14" s="6" t="inlineStr">
        <is>
          <t>Idaho Code § 49-1626</t>
        </is>
      </c>
      <c r="E14" s="6" t="inlineStr"/>
      <c r="F14" s="6" t="inlineStr">
        <is>
          <t>Idaho Transportation Department</t>
        </is>
      </c>
      <c r="G14" s="6" t="inlineStr">
        <is>
          <t>https://itd.idaho.gov/dmv/</t>
        </is>
      </c>
      <c r="H14" s="6" t="inlineStr">
        <is>
          <t>Agency or court</t>
        </is>
      </c>
      <c r="I14" s="6" t="inlineStr">
        <is>
          <t>ITD contested case (after mediation) or court</t>
        </is>
      </c>
      <c r="J14" s="6" t="inlineStr">
        <is>
          <t>https://legislature.idaho.gov/wp-content/uploads/statutesrules/idstat/Title49/T49CH16.pdf (section page: https://legislature.idaho.gov/statutesrules/idstat/title49/t49ch16/sect49-1626/)</t>
        </is>
      </c>
    </row>
    <row r="15">
      <c r="A15" s="6" t="inlineStr">
        <is>
          <t>IL</t>
        </is>
      </c>
      <c r="B15" s="6" t="inlineStr">
        <is>
          <t>Illinois</t>
        </is>
      </c>
      <c r="C15" s="6" t="inlineStr">
        <is>
          <t>Statute</t>
        </is>
      </c>
      <c r="D15" s="6" t="inlineStr">
        <is>
          <t>815 ILCS 710/6</t>
        </is>
      </c>
      <c r="E15" s="6" t="inlineStr"/>
      <c r="F15" s="6" t="inlineStr">
        <is>
          <t>Motor Vehicle Review Board (Secretary of State)</t>
        </is>
      </c>
      <c r="G15" s="6" t="inlineStr">
        <is>
          <t>https://www.ilsos.gov/departments/administrative-hearings/mvrb.html</t>
        </is>
      </c>
      <c r="H15" s="6" t="inlineStr">
        <is>
          <t>Agency or court</t>
        </is>
      </c>
      <c r="I15" s="6" t="inlineStr">
        <is>
          <t>Review Board, arbitration or court</t>
        </is>
      </c>
      <c r="J15" s="6" t="inlineStr">
        <is>
          <t>https://www.ilga.gov/Documents/legislation/ilcs/documents/081507100K6.htm (full Act: https://www.ilga.gov/legislation/ilcs/ilcs3.asp?ActID=2382&amp;ChapterID=67)</t>
        </is>
      </c>
    </row>
    <row r="16">
      <c r="A16" s="6" t="inlineStr">
        <is>
          <t>IN</t>
        </is>
      </c>
      <c r="B16" s="6" t="inlineStr">
        <is>
          <t>Indiana</t>
        </is>
      </c>
      <c r="C16" s="6" t="inlineStr">
        <is>
          <t>Statute</t>
        </is>
      </c>
      <c r="D16" s="6" t="inlineStr">
        <is>
          <t>IC 9-32-13-15.5</t>
        </is>
      </c>
      <c r="E16" s="6" t="inlineStr"/>
      <c r="F16" s="6" t="inlineStr">
        <is>
          <t>Secretary of State, Auto Dealer Services</t>
        </is>
      </c>
      <c r="G16" s="6" t="inlineStr">
        <is>
          <t>https://www.in.gov/sos/dealer/</t>
        </is>
      </c>
      <c r="H16" s="6" t="inlineStr">
        <is>
          <t>Agency</t>
        </is>
      </c>
      <c r="I16" s="6" t="inlineStr">
        <is>
          <t>Secretary of State</t>
        </is>
      </c>
      <c r="J16" s="6" t="inlineStr">
        <is>
          <t>https://iga.in.gov/ic/2026/Title_9.pdf (Indiana Code 2026, Title 9; ch. 9-32-13)</t>
        </is>
      </c>
    </row>
    <row r="17">
      <c r="A17" s="6" t="inlineStr">
        <is>
          <t>KS</t>
        </is>
      </c>
      <c r="B17" s="6" t="inlineStr">
        <is>
          <t>Kansas</t>
        </is>
      </c>
      <c r="C17" s="6" t="inlineStr">
        <is>
          <t>Statute</t>
        </is>
      </c>
      <c r="D17" s="6" t="inlineStr">
        <is>
          <t>K.S.A. 8-2415</t>
        </is>
      </c>
      <c r="E17" s="6" t="inlineStr"/>
      <c r="F17" s="6" t="inlineStr">
        <is>
          <t>Dept. of Revenue, Director of Vehicles</t>
        </is>
      </c>
      <c r="G17" s="6" t="inlineStr">
        <is>
          <t>https://www.ksrevenue.gov/dovdealer.html</t>
        </is>
      </c>
      <c r="H17" s="6" t="inlineStr">
        <is>
          <t>Agency</t>
        </is>
      </c>
      <c r="I17" s="6" t="inlineStr">
        <is>
          <t>Director of Vehicles</t>
        </is>
      </c>
      <c r="J17" s="6" t="inlineStr">
        <is>
          <t>https://ksrevisor.gov/statutes/chapters/ch08/008_024_0015.html</t>
        </is>
      </c>
    </row>
    <row r="18">
      <c r="A18" s="6" t="inlineStr">
        <is>
          <t>KY</t>
        </is>
      </c>
      <c r="B18" s="6" t="inlineStr">
        <is>
          <t>Kentucky</t>
        </is>
      </c>
      <c r="C18" s="6" t="inlineStr">
        <is>
          <t>Statute</t>
        </is>
      </c>
      <c r="D18" s="6" t="inlineStr">
        <is>
          <t>KRS 190.046</t>
        </is>
      </c>
      <c r="E18" s="6" t="inlineStr"/>
      <c r="F18" s="6" t="inlineStr">
        <is>
          <t>Motor Vehicle Commission</t>
        </is>
      </c>
      <c r="G18" s="6" t="inlineStr">
        <is>
          <t>https://mvc.ky.gov/</t>
        </is>
      </c>
      <c r="H18" s="6" t="inlineStr">
        <is>
          <t>Agency</t>
        </is>
      </c>
      <c r="I18" s="6" t="inlineStr">
        <is>
          <t>Commission hearing</t>
        </is>
      </c>
      <c r="J18" s="6" t="inlineStr">
        <is>
          <t>https://apps.legislature.ky.gov/law/statutes/statute.aspx?id=57533 (KRS 190.046, effective July 15, 2026)</t>
        </is>
      </c>
    </row>
    <row r="19">
      <c r="A19" s="6" t="inlineStr">
        <is>
          <t>LA</t>
        </is>
      </c>
      <c r="B19" s="6" t="inlineStr">
        <is>
          <t>Louisiana</t>
        </is>
      </c>
      <c r="C19" s="6" t="inlineStr">
        <is>
          <t>Statute</t>
        </is>
      </c>
      <c r="D19" s="6" t="inlineStr">
        <is>
          <t>La. R.S. 32:1262</t>
        </is>
      </c>
      <c r="E19" s="6" t="inlineStr"/>
      <c r="F19" s="6" t="inlineStr">
        <is>
          <t>Motor Vehicle Commission</t>
        </is>
      </c>
      <c r="G19" s="6" t="inlineStr">
        <is>
          <t>https://www.lmvc.la.gov/</t>
        </is>
      </c>
      <c r="H19" s="6" t="inlineStr">
        <is>
          <t>Agency</t>
        </is>
      </c>
      <c r="I19" s="6" t="inlineStr">
        <is>
          <t>Commission</t>
        </is>
      </c>
      <c r="J19" s="6" t="inlineStr">
        <is>
          <t>https://legis.la.gov/Legis/LawPrint.aspx?d=321503</t>
        </is>
      </c>
    </row>
    <row r="20">
      <c r="A20" s="6" t="inlineStr">
        <is>
          <t>MA</t>
        </is>
      </c>
      <c r="B20" s="6" t="inlineStr">
        <is>
          <t>Massachusetts</t>
        </is>
      </c>
      <c r="C20" s="6" t="inlineStr">
        <is>
          <t>Statute</t>
        </is>
      </c>
      <c r="D20" s="6" t="inlineStr">
        <is>
          <t>Mass. Gen. Laws ch. 93B, § 9</t>
        </is>
      </c>
      <c r="E20" s="6" t="inlineStr"/>
      <c r="F20" s="6" t="inlineStr">
        <is>
          <t>None (enforced by dealer lawsuits)</t>
        </is>
      </c>
      <c r="G20" s="6" t="inlineStr"/>
      <c r="H20" s="6" t="inlineStr">
        <is>
          <t>Court</t>
        </is>
      </c>
      <c r="I20" s="6" t="inlineStr">
        <is>
          <t>Court</t>
        </is>
      </c>
      <c r="J20" s="6" t="inlineStr">
        <is>
          <t>https://malegislature.gov/Laws/GeneralLaws/PartI/TitleXV/Chapter93B/Section9</t>
        </is>
      </c>
    </row>
    <row r="21">
      <c r="A21" s="6" t="inlineStr">
        <is>
          <t>MD</t>
        </is>
      </c>
      <c r="B21" s="6" t="inlineStr">
        <is>
          <t>Maryland</t>
        </is>
      </c>
      <c r="C21" s="6" t="inlineStr">
        <is>
          <t>Statute</t>
        </is>
      </c>
      <c r="D21" s="6" t="inlineStr">
        <is>
          <t>Md. Code, Transp. § 15-212</t>
        </is>
      </c>
      <c r="E21" s="6" t="inlineStr"/>
      <c r="F21" s="6" t="inlineStr">
        <is>
          <t>Motor Vehicle Administration</t>
        </is>
      </c>
      <c r="G21" s="6" t="inlineStr">
        <is>
          <t>https://mva.maryland.gov/</t>
        </is>
      </c>
      <c r="H21" s="6" t="inlineStr">
        <is>
          <t>Agency or court</t>
        </is>
      </c>
      <c r="I21" s="6" t="inlineStr">
        <is>
          <t>MVA or court</t>
        </is>
      </c>
      <c r="J21" s="6" t="inlineStr">
        <is>
          <t>https://mgaleg.maryland.gov/mgawebsite/Laws/StatuteText?article=gtr&amp;section=15-212&amp;enactments=false</t>
        </is>
      </c>
    </row>
    <row r="22">
      <c r="A22" s="6" t="inlineStr">
        <is>
          <t>ME</t>
        </is>
      </c>
      <c r="B22" s="6" t="inlineStr">
        <is>
          <t>Maine</t>
        </is>
      </c>
      <c r="C22" s="6" t="inlineStr">
        <is>
          <t>Statute</t>
        </is>
      </c>
      <c r="D22" s="6" t="inlineStr">
        <is>
          <t>10 M.R.S. § 1176</t>
        </is>
      </c>
      <c r="E22" s="6" t="inlineStr"/>
      <c r="F22" s="6" t="inlineStr">
        <is>
          <t>Motor Vehicle Franchise Board</t>
        </is>
      </c>
      <c r="G22" s="6" t="inlineStr">
        <is>
          <t>https://www.maine.gov/sos/bmv/more-bmv/motor-vehicle-franchise-board</t>
        </is>
      </c>
      <c r="H22" s="6" t="inlineStr">
        <is>
          <t>Agency or court</t>
        </is>
      </c>
      <c r="I22" s="6" t="inlineStr">
        <is>
          <t>Franchise Board or court</t>
        </is>
      </c>
      <c r="J22" s="6" t="inlineStr">
        <is>
          <t>https://legislature.maine.gov/statutes/10/title10sec1176.html</t>
        </is>
      </c>
    </row>
    <row r="23">
      <c r="A23" s="6" t="inlineStr">
        <is>
          <t>MI</t>
        </is>
      </c>
      <c r="B23" s="6" t="inlineStr">
        <is>
          <t>Michigan</t>
        </is>
      </c>
      <c r="C23" s="6" t="inlineStr">
        <is>
          <t>Statute</t>
        </is>
      </c>
      <c r="D23" s="6" t="inlineStr">
        <is>
          <t>Mich. Comp. Laws §§ 445.1577 and 445.1577a</t>
        </is>
      </c>
      <c r="E23" s="6" t="inlineStr"/>
      <c r="F23" s="6" t="inlineStr">
        <is>
          <t>None (enforced by dealer lawsuits)</t>
        </is>
      </c>
      <c r="G23" s="6" t="inlineStr"/>
      <c r="H23" s="6" t="inlineStr">
        <is>
          <t>Court</t>
        </is>
      </c>
      <c r="I23" s="6" t="inlineStr">
        <is>
          <t>Court</t>
        </is>
      </c>
      <c r="J23" s="6" t="inlineStr">
        <is>
          <t>https://www.legislature.mi.gov/Laws/MCL?objectName=mcl-445-1577 ; https://www.legislature.mi.gov/Laws/MCL?objectName=mcl-445-1577a</t>
        </is>
      </c>
    </row>
    <row r="24">
      <c r="A24" s="6" t="inlineStr">
        <is>
          <t>MN</t>
        </is>
      </c>
      <c r="B24" s="6" t="inlineStr">
        <is>
          <t>Minnesota</t>
        </is>
      </c>
      <c r="C24" s="6" t="inlineStr">
        <is>
          <t>Statute</t>
        </is>
      </c>
      <c r="D24" s="6" t="inlineStr">
        <is>
          <t>Minn. Stat. § 80E.041</t>
        </is>
      </c>
      <c r="E24" s="6" t="inlineStr"/>
      <c r="F24" s="6" t="inlineStr">
        <is>
          <t>Attorney General (fines through a civil action)</t>
        </is>
      </c>
      <c r="G24" s="6" t="inlineStr">
        <is>
          <t>https://www.ag.state.mn.us/</t>
        </is>
      </c>
      <c r="H24" s="6" t="inlineStr">
        <is>
          <t>Court</t>
        </is>
      </c>
      <c r="I24" s="6" t="inlineStr">
        <is>
          <t>Court</t>
        </is>
      </c>
      <c r="J24" s="6" t="inlineStr">
        <is>
          <t>https://www.revisor.mn.gov/statutes/cite/80E.041</t>
        </is>
      </c>
    </row>
    <row r="25">
      <c r="A25" s="6" t="inlineStr">
        <is>
          <t>MO</t>
        </is>
      </c>
      <c r="B25" s="6" t="inlineStr">
        <is>
          <t>Missouri</t>
        </is>
      </c>
      <c r="C25" s="6" t="inlineStr">
        <is>
          <t>Statute</t>
        </is>
      </c>
      <c r="D25" s="6" t="inlineStr">
        <is>
          <t>Mo. Rev. Stat. § 407.828</t>
        </is>
      </c>
      <c r="E25" s="6" t="inlineStr"/>
      <c r="F25" s="6" t="inlineStr">
        <is>
          <t>Dept. of Revenue (licensing)</t>
        </is>
      </c>
      <c r="G25" s="6" t="inlineStr">
        <is>
          <t>https://dor.mo.gov/motor-vehicle/</t>
        </is>
      </c>
      <c r="H25" s="6" t="inlineStr">
        <is>
          <t>Agency</t>
        </is>
      </c>
      <c r="I25" s="6" t="inlineStr">
        <is>
          <t>Administrative Hearing Commission</t>
        </is>
      </c>
      <c r="J25" s="6" t="inlineStr">
        <is>
          <t>https://revisor.mo.gov/main/OneSection.aspx?section=407.828</t>
        </is>
      </c>
    </row>
    <row r="26">
      <c r="A26" s="6" t="inlineStr">
        <is>
          <t>MS</t>
        </is>
      </c>
      <c r="B26" s="6" t="inlineStr">
        <is>
          <t>Mississippi</t>
        </is>
      </c>
      <c r="C26" s="6" t="inlineStr">
        <is>
          <t>Statute</t>
        </is>
      </c>
      <c r="D26" s="6" t="inlineStr">
        <is>
          <t>Miss. Code Ann. §§ 63-17-85(j), 63-17-86</t>
        </is>
      </c>
      <c r="E26" s="6" t="inlineStr"/>
      <c r="F26" s="6" t="inlineStr">
        <is>
          <t>Motor Vehicle Commission</t>
        </is>
      </c>
      <c r="G26" s="6" t="inlineStr">
        <is>
          <t>https://www.mmvc.ms.gov/</t>
        </is>
      </c>
      <c r="H26" s="6" t="inlineStr">
        <is>
          <t>Agency</t>
        </is>
      </c>
      <c r="I26" s="6" t="inlineStr">
        <is>
          <t>Commission</t>
        </is>
      </c>
      <c r="J26" s="6" t="inlineStr">
        <is>
          <t>https://billstatus.ls.state.ms.us/documents/2021/html/HB/0700-0799/HB0746SG.htm (enrolled HB 746, Laws 2021 ch. 315). Current code mirror: https://law.justia.com/codes/mississippi/title-63/chapter-17/distribution-and-sales/ (2025 code)</t>
        </is>
      </c>
    </row>
    <row r="27">
      <c r="A27" s="6" t="inlineStr">
        <is>
          <t>MT</t>
        </is>
      </c>
      <c r="B27" s="6" t="inlineStr">
        <is>
          <t>Montana</t>
        </is>
      </c>
      <c r="C27" s="6" t="inlineStr">
        <is>
          <t>Statute</t>
        </is>
      </c>
      <c r="D27" s="6" t="inlineStr">
        <is>
          <t>Mont. Code Ann. § 61-4-213</t>
        </is>
      </c>
      <c r="E27" s="6" t="inlineStr"/>
      <c r="F27" s="6" t="inlineStr">
        <is>
          <t>Dept. of Justice, Motor Vehicle Division</t>
        </is>
      </c>
      <c r="G27" s="6" t="inlineStr">
        <is>
          <t>https://mvdmt.gov/</t>
        </is>
      </c>
      <c r="H27" s="6" t="inlineStr">
        <is>
          <t>Agency or court</t>
        </is>
      </c>
      <c r="I27" s="6" t="inlineStr">
        <is>
          <t>Department or court</t>
        </is>
      </c>
      <c r="J27" s="6" t="inlineStr">
        <is>
          <t>https://mca.legmt.gov/bills/mca/title_0610/chapter_0040/part_0020/section_0130/0610-0040-0020-0130.html</t>
        </is>
      </c>
    </row>
    <row r="28">
      <c r="A28" s="6" t="inlineStr">
        <is>
          <t>NC</t>
        </is>
      </c>
      <c r="B28" s="6" t="inlineStr">
        <is>
          <t>North Carolina</t>
        </is>
      </c>
      <c r="C28" s="6" t="inlineStr">
        <is>
          <t>Statute</t>
        </is>
      </c>
      <c r="D28" s="6" t="inlineStr">
        <is>
          <t>N.C. Gen. Stat. § 20-305.1</t>
        </is>
      </c>
      <c r="E28" s="6" t="inlineStr"/>
      <c r="F28" s="6" t="inlineStr">
        <is>
          <t>DMV Commissioner</t>
        </is>
      </c>
      <c r="G28" s="6" t="inlineStr">
        <is>
          <t>https://www.ncdot.gov/dmv/</t>
        </is>
      </c>
      <c r="H28" s="6" t="inlineStr">
        <is>
          <t>Agency</t>
        </is>
      </c>
      <c r="I28" s="6" t="inlineStr">
        <is>
          <t>DMV Commissioner</t>
        </is>
      </c>
      <c r="J28" s="6" t="inlineStr">
        <is>
          <t>https://www.ncleg.gov/EnactedLegislation/Statutes/HTML/BySection/Chapter_20/GS_20-305.1.html</t>
        </is>
      </c>
    </row>
    <row r="29">
      <c r="A29" s="6" t="inlineStr">
        <is>
          <t>ND</t>
        </is>
      </c>
      <c r="B29" s="6" t="inlineStr">
        <is>
          <t>North Dakota</t>
        </is>
      </c>
      <c r="C29" s="6" t="inlineStr">
        <is>
          <t>Statute</t>
        </is>
      </c>
      <c r="D29" s="6" t="inlineStr">
        <is>
          <t>N.D. Cent. Code § 51-07-29</t>
        </is>
      </c>
      <c r="E29" s="6" t="inlineStr"/>
      <c r="F29" s="6" t="inlineStr">
        <is>
          <t>None for franchise matters (DOT licenses dealers)</t>
        </is>
      </c>
      <c r="G29" s="6" t="inlineStr">
        <is>
          <t>https://www.dot.nd.gov/</t>
        </is>
      </c>
      <c r="H29" s="6" t="inlineStr">
        <is>
          <t>Court</t>
        </is>
      </c>
      <c r="I29" s="6" t="inlineStr">
        <is>
          <t>Court</t>
        </is>
      </c>
      <c r="J29" s="6" t="inlineStr">
        <is>
          <t>https://www.ndlegis.gov/cencode/t51c07.pdf ; session law: https://ndlegis.gov/assembly/69-2025/session-laws/documents/SALES.pdf (ch. 463)</t>
        </is>
      </c>
    </row>
    <row r="30">
      <c r="A30" s="6" t="inlineStr">
        <is>
          <t>NE</t>
        </is>
      </c>
      <c r="B30" s="6" t="inlineStr">
        <is>
          <t>Nebraska</t>
        </is>
      </c>
      <c r="C30" s="6" t="inlineStr">
        <is>
          <t>Statute</t>
        </is>
      </c>
      <c r="D30" s="6" t="inlineStr">
        <is>
          <t>Neb. Rev. Stat. § 60-1438</t>
        </is>
      </c>
      <c r="E30" s="6" t="inlineStr"/>
      <c r="F30" s="6" t="inlineStr">
        <is>
          <t>Motor Vehicle Industry Licensing Board</t>
        </is>
      </c>
      <c r="G30" s="6" t="inlineStr">
        <is>
          <t>https://mvilb.nebraska.gov/</t>
        </is>
      </c>
      <c r="H30" s="6" t="inlineStr">
        <is>
          <t>Agency</t>
        </is>
      </c>
      <c r="I30" s="6" t="inlineStr">
        <is>
          <t>Board</t>
        </is>
      </c>
      <c r="J30" s="6" t="inlineStr">
        <is>
          <t>https://nebraskalegislature.gov/laws/statutes.php?statute=60-1438</t>
        </is>
      </c>
    </row>
    <row r="31">
      <c r="A31" s="6" t="inlineStr">
        <is>
          <t>NH</t>
        </is>
      </c>
      <c r="B31" s="6" t="inlineStr">
        <is>
          <t>New Hampshire</t>
        </is>
      </c>
      <c r="C31" s="6" t="inlineStr">
        <is>
          <t>Statute</t>
        </is>
      </c>
      <c r="D31" s="6" t="inlineStr">
        <is>
          <t>N.H. Rev. Stat. Ann. § 357-C:5</t>
        </is>
      </c>
      <c r="E31" s="6" t="inlineStr"/>
      <c r="F31" s="6" t="inlineStr">
        <is>
          <t>Motor Vehicle Industry Board</t>
        </is>
      </c>
      <c r="G31" s="6" t="inlineStr">
        <is>
          <t>https://www.dos.nh.gov/commissions-boards-bureaus/motor-vehicle-industry-board</t>
        </is>
      </c>
      <c r="H31" s="6" t="inlineStr">
        <is>
          <t>Agency</t>
        </is>
      </c>
      <c r="I31" s="6" t="inlineStr">
        <is>
          <t>Board</t>
        </is>
      </c>
      <c r="J31" s="6" t="inlineStr">
        <is>
          <t>https://gc.nh.gov/rsa/html/XXXI/357-C/357-C-5.htm</t>
        </is>
      </c>
    </row>
    <row r="32">
      <c r="A32" s="6" t="inlineStr">
        <is>
          <t>NJ</t>
        </is>
      </c>
      <c r="B32" s="6" t="inlineStr">
        <is>
          <t>New Jersey</t>
        </is>
      </c>
      <c r="C32" s="6" t="inlineStr">
        <is>
          <t>Statute</t>
        </is>
      </c>
      <c r="D32" s="6" t="inlineStr">
        <is>
          <t>N.J. Stat. Ann. § 56:10-15</t>
        </is>
      </c>
      <c r="E32" s="6" t="inlineStr"/>
      <c r="F32" s="6" t="inlineStr">
        <is>
          <t>None (enforced by dealer lawsuits)</t>
        </is>
      </c>
      <c r="G32" s="6" t="inlineStr"/>
      <c r="H32" s="6" t="inlineStr">
        <is>
          <t>Court</t>
        </is>
      </c>
      <c r="I32" s="6" t="inlineStr">
        <is>
          <t>Superior Court</t>
        </is>
      </c>
      <c r="J32" s="6" t="inlineStr">
        <is>
          <t>https://pub.njleg.gov/Bills/2024/PL25/140_.PDF</t>
        </is>
      </c>
    </row>
    <row r="33">
      <c r="A33" s="6" t="inlineStr">
        <is>
          <t>NM</t>
        </is>
      </c>
      <c r="B33" s="6" t="inlineStr">
        <is>
          <t>New Mexico</t>
        </is>
      </c>
      <c r="C33" s="6" t="inlineStr">
        <is>
          <t>Statute</t>
        </is>
      </c>
      <c r="D33" s="6" t="inlineStr">
        <is>
          <t>N.M. Stat. Ann. § 57-16-7</t>
        </is>
      </c>
      <c r="E33" s="6" t="inlineStr"/>
      <c r="F33" s="6" t="inlineStr">
        <is>
          <t>None (enforced by dealer lawsuits)</t>
        </is>
      </c>
      <c r="G33" s="6" t="inlineStr"/>
      <c r="H33" s="6" t="inlineStr">
        <is>
          <t>Court</t>
        </is>
      </c>
      <c r="I33" s="6" t="inlineStr">
        <is>
          <t>Court</t>
        </is>
      </c>
      <c r="J33" s="6" t="inlineStr">
        <is>
          <t>https://nmonesource.com/nmos/nmsa/en/4423/1/document.do (official NMOneSource NMSA 1978 Chapter 57 PDF; site 'last modified 09/24/2026'). Section page: https://nmonesource.com/nmos/nmsa/en/item/4423/index.do</t>
        </is>
      </c>
    </row>
    <row r="34">
      <c r="A34" s="6" t="inlineStr">
        <is>
          <t>NV</t>
        </is>
      </c>
      <c r="B34" s="6" t="inlineStr">
        <is>
          <t>Nevada</t>
        </is>
      </c>
      <c r="C34" s="6" t="inlineStr">
        <is>
          <t>Statute</t>
        </is>
      </c>
      <c r="D34" s="6" t="inlineStr">
        <is>
          <t>Nev. Rev. Stat. § 482.36385</t>
        </is>
      </c>
      <c r="E34" s="6" t="inlineStr"/>
      <c r="F34" s="6" t="inlineStr">
        <is>
          <t>DMV (licensing); Attorney General (civil penalties)</t>
        </is>
      </c>
      <c r="G34" s="6" t="inlineStr">
        <is>
          <t>https://dmv.nv.gov/</t>
        </is>
      </c>
      <c r="H34" s="6" t="inlineStr">
        <is>
          <t>Court</t>
        </is>
      </c>
      <c r="I34" s="6" t="inlineStr">
        <is>
          <t>Court</t>
        </is>
      </c>
      <c r="J34" s="6" t="inlineStr">
        <is>
          <t>https://www.leg.state.nv.us/NRS/NRS-482.html#NRS482Sec36385</t>
        </is>
      </c>
    </row>
    <row r="35">
      <c r="A35" s="6" t="inlineStr">
        <is>
          <t>NY</t>
        </is>
      </c>
      <c r="B35" s="6" t="inlineStr">
        <is>
          <t>New York</t>
        </is>
      </c>
      <c r="C35" s="6" t="inlineStr">
        <is>
          <t>Statute</t>
        </is>
      </c>
      <c r="D35" s="6" t="inlineStr">
        <is>
          <t>N.Y. Veh. &amp; Traf. Law § 465</t>
        </is>
      </c>
      <c r="E35" s="6" t="inlineStr"/>
      <c r="F35" s="6" t="inlineStr">
        <is>
          <t>DMV Commissioner</t>
        </is>
      </c>
      <c r="G35" s="6" t="inlineStr">
        <is>
          <t>https://dmv.ny.gov/</t>
        </is>
      </c>
      <c r="H35" s="6" t="inlineStr">
        <is>
          <t>Agency or court</t>
        </is>
      </c>
      <c r="I35" s="6" t="inlineStr">
        <is>
          <t>DMV Commissioner or court</t>
        </is>
      </c>
      <c r="J35" s="6" t="inlineStr">
        <is>
          <t>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is>
      </c>
    </row>
    <row r="36">
      <c r="A36" s="6" t="inlineStr">
        <is>
          <t>OH</t>
        </is>
      </c>
      <c r="B36" s="6" t="inlineStr">
        <is>
          <t>Ohio</t>
        </is>
      </c>
      <c r="C36" s="6" t="inlineStr">
        <is>
          <t>Statute</t>
        </is>
      </c>
      <c r="D36" s="6" t="inlineStr">
        <is>
          <t>Ohio Rev. Code § 4517.52</t>
        </is>
      </c>
      <c r="E36" s="6" t="inlineStr"/>
      <c r="F36" s="6" t="inlineStr">
        <is>
          <t>Motor Vehicle Dealers Board (not for warranty disputes)</t>
        </is>
      </c>
      <c r="G36" s="6" t="inlineStr">
        <is>
          <t>https://www.bmv.ohio.gov/</t>
        </is>
      </c>
      <c r="H36" s="6" t="inlineStr">
        <is>
          <t>Court</t>
        </is>
      </c>
      <c r="I36" s="6" t="inlineStr">
        <is>
          <t>Franchisor's internal process, then court</t>
        </is>
      </c>
      <c r="J36" s="6" t="inlineStr">
        <is>
          <t>https://codes.ohio.gov/ohio-revised-code/section-4517.52 ; https://codes.ohio.gov/ohio-revised-code/section-4517.59</t>
        </is>
      </c>
    </row>
    <row r="37">
      <c r="A37" s="6" t="inlineStr">
        <is>
          <t>OK</t>
        </is>
      </c>
      <c r="B37" s="6" t="inlineStr">
        <is>
          <t>Oklahoma</t>
        </is>
      </c>
      <c r="C37" s="6" t="inlineStr">
        <is>
          <t>Statute</t>
        </is>
      </c>
      <c r="D37" s="6" t="inlineStr">
        <is>
          <t>Okla. Stat. tit. 47, § 565(A)(9)(b)</t>
        </is>
      </c>
      <c r="E37" s="6" t="inlineStr"/>
      <c r="F37" s="6" t="inlineStr">
        <is>
          <t>New Motor Vehicle Commission</t>
        </is>
      </c>
      <c r="G37" s="6" t="inlineStr">
        <is>
          <t>https://oklahoma.gov/onmvc.html</t>
        </is>
      </c>
      <c r="H37" s="6" t="inlineStr">
        <is>
          <t>Agency</t>
        </is>
      </c>
      <c r="I37" s="6" t="inlineStr">
        <is>
          <t>Commission</t>
        </is>
      </c>
      <c r="J37" s="6" t="inlineStr">
        <is>
          <t>Codified: https://law.justia.com/codes/oklahoma/title-47/section-47-565v1/ and .../section-47-565v2/ (2025 Okla. Stat.); enrolled HB2158/HB2160 on oklegislature.gov. OSCN not accessible.</t>
        </is>
      </c>
    </row>
    <row r="38">
      <c r="A38" s="6" t="inlineStr">
        <is>
          <t>OR</t>
        </is>
      </c>
      <c r="B38" s="6" t="inlineStr">
        <is>
          <t>Oregon</t>
        </is>
      </c>
      <c r="C38" s="6" t="inlineStr">
        <is>
          <t>Statute</t>
        </is>
      </c>
      <c r="D38" s="6" t="inlineStr">
        <is>
          <t>Or. Rev. Stat. § 650.158</t>
        </is>
      </c>
      <c r="E38" s="6" t="inlineStr"/>
      <c r="F38" s="6" t="inlineStr">
        <is>
          <t>None (enforced by dealer lawsuits)</t>
        </is>
      </c>
      <c r="G38" s="6" t="inlineStr"/>
      <c r="H38" s="6" t="inlineStr">
        <is>
          <t>Court</t>
        </is>
      </c>
      <c r="I38" s="6" t="inlineStr">
        <is>
          <t>Court</t>
        </is>
      </c>
      <c r="J38" s="6" t="inlineStr">
        <is>
          <t>https://www.oregonlegislature.gov/bills_laws/ors/ors650.html (2025 edition); pre-2026 text: https://www.oregonlegislature.gov/bills_laws/archive/2023ors650.pdf ; enrolled HB 2127: https://olis.oregonlegislature.gov/liz/2025R1/Downloads/MeasureDocument/HB2127</t>
        </is>
      </c>
    </row>
    <row r="39">
      <c r="A39" s="6" t="inlineStr">
        <is>
          <t>PA</t>
        </is>
      </c>
      <c r="B39" s="6" t="inlineStr">
        <is>
          <t>Pennsylvania</t>
        </is>
      </c>
      <c r="C39" s="6" t="inlineStr">
        <is>
          <t>Statute</t>
        </is>
      </c>
      <c r="D39" s="6" t="inlineStr">
        <is>
          <t>BOVA § 307, 63 P.S. § 818.307</t>
        </is>
      </c>
      <c r="E39" s="6" t="inlineStr"/>
      <c r="F39" s="6" t="inlineStr">
        <is>
          <t>State Board of Vehicle Manufacturers, Dealers and Salespersons</t>
        </is>
      </c>
      <c r="G39" s="6" t="inlineStr">
        <is>
          <t>https://www.pa.gov/agencies/dos/department-and-offices/bpoa/boards-commissions/vehicle-manufacturers-dealers-salespersons</t>
        </is>
      </c>
      <c r="H39" s="6" t="inlineStr">
        <is>
          <t>Agency</t>
        </is>
      </c>
      <c r="I39" s="6" t="inlineStr">
        <is>
          <t>Board (with a mediation demand)</t>
        </is>
      </c>
      <c r="J39" s="6" t="inlineStr">
        <is>
          <t>https://www.legis.state.pa.us/WU01/LI/LI/US/HTM/1983/0/0084..HTM (official unconsolidated statute; § 307 last amended by Act 134 of 2018; page as fetched 10/6/2026 shows no 2026 amendment notes)</t>
        </is>
      </c>
    </row>
    <row r="40">
      <c r="A40" s="6" t="inlineStr">
        <is>
          <t>RI</t>
        </is>
      </c>
      <c r="B40" s="6" t="inlineStr">
        <is>
          <t>Rhode Island</t>
        </is>
      </c>
      <c r="C40" s="6" t="inlineStr">
        <is>
          <t>Statute</t>
        </is>
      </c>
      <c r="D40" s="6" t="inlineStr">
        <is>
          <t>R.I. Gen. Laws § 31-5.1-6</t>
        </is>
      </c>
      <c r="E40" s="6" t="inlineStr"/>
      <c r="F40" s="6" t="inlineStr">
        <is>
          <t>Dept. of Revenue (Dealers' License and Hearing Board)</t>
        </is>
      </c>
      <c r="G40" s="6" t="inlineStr">
        <is>
          <t>https://dmv.ri.gov/</t>
        </is>
      </c>
      <c r="H40" s="6" t="inlineStr">
        <is>
          <t>Agency</t>
        </is>
      </c>
      <c r="I40" s="6" t="inlineStr">
        <is>
          <t>Department</t>
        </is>
      </c>
      <c r="J40" s="6" t="inlineStr">
        <is>
          <t>https://webserver.rilegislature.gov/Statutes/TITLE31/31-5.1/31-5.1-6.htm (current codified text). 10/1/2026 changes: https://webserver.rilegislature.gov/BillText/BillText26/SenateText26/S2347A.pdf and P.L. 2026 ch. 180: https://webserver.rilegislature.gov/PublicLaws/law26/law26180.htm</t>
        </is>
      </c>
    </row>
    <row r="41">
      <c r="A41" s="6" t="inlineStr">
        <is>
          <t>SC</t>
        </is>
      </c>
      <c r="B41" s="6" t="inlineStr">
        <is>
          <t>South Carolina</t>
        </is>
      </c>
      <c r="C41" s="6" t="inlineStr">
        <is>
          <t>Statute</t>
        </is>
      </c>
      <c r="D41" s="6" t="inlineStr">
        <is>
          <t>S.C. Code Ann. § 56-15-60</t>
        </is>
      </c>
      <c r="E41" s="6" t="inlineStr"/>
      <c r="F41" s="6" t="inlineStr">
        <is>
          <t>None (enforced by dealer lawsuits)</t>
        </is>
      </c>
      <c r="G41" s="6" t="inlineStr"/>
      <c r="H41" s="6" t="inlineStr">
        <is>
          <t>Court</t>
        </is>
      </c>
      <c r="I41" s="6" t="inlineStr">
        <is>
          <t>Court</t>
        </is>
      </c>
      <c r="J41" s="6" t="inlineStr">
        <is>
          <t>https://www.scstatehouse.gov/code/t56c015.php</t>
        </is>
      </c>
    </row>
    <row r="42">
      <c r="A42" s="6" t="inlineStr">
        <is>
          <t>SD</t>
        </is>
      </c>
      <c r="B42" s="6" t="inlineStr">
        <is>
          <t>South Dakota</t>
        </is>
      </c>
      <c r="C42" s="6" t="inlineStr">
        <is>
          <t>Statute</t>
        </is>
      </c>
      <c r="D42" s="6" t="inlineStr">
        <is>
          <t>S.D. Codified Laws §§ 32-6B-58, 32-6B-61</t>
        </is>
      </c>
      <c r="E42" s="6" t="inlineStr"/>
      <c r="F42" s="6" t="inlineStr">
        <is>
          <t>Dept. of Revenue (licensing; may seek injunctions)</t>
        </is>
      </c>
      <c r="G42" s="6" t="inlineStr">
        <is>
          <t>https://dor.sd.gov/individuals/motor-vehicle/</t>
        </is>
      </c>
      <c r="H42" s="6" t="inlineStr">
        <is>
          <t>Court</t>
        </is>
      </c>
      <c r="I42" s="6" t="inlineStr">
        <is>
          <t>Court</t>
        </is>
      </c>
      <c r="J42" s="6" t="inlineStr">
        <is>
          <t>https://sdlegislature.gov/Statutes/32-6B-61 (full chapter via https://sdlegislature.gov/api/Statutes/32-6B.html?all=true)</t>
        </is>
      </c>
    </row>
    <row r="43">
      <c r="A43" s="6" t="inlineStr">
        <is>
          <t>TN</t>
        </is>
      </c>
      <c r="B43" s="6" t="inlineStr">
        <is>
          <t>Tennessee</t>
        </is>
      </c>
      <c r="C43" s="6" t="inlineStr">
        <is>
          <t>Statute + agency rule</t>
        </is>
      </c>
      <c r="D43" s="6" t="inlineStr">
        <is>
          <t>Tenn. Code Ann. § 55-17-121</t>
        </is>
      </c>
      <c r="E43" s="6" t="inlineStr">
        <is>
          <t>Motor Vehicle Commission rules set the claim deadlines, the 12-month audit window, paid hours and a 30-day answer to labor-rate requests (Tenn. Comp. R. &amp; Regs. 0960-01-.03 to -.05).</t>
        </is>
      </c>
      <c r="F43" s="6" t="inlineStr">
        <is>
          <t>Motor Vehicle Commission</t>
        </is>
      </c>
      <c r="G43" s="6" t="inlineStr">
        <is>
          <t>https://www.tn.gov/commerce/regboards/mvc.html</t>
        </is>
      </c>
      <c r="H43" s="6" t="inlineStr">
        <is>
          <t>Agency</t>
        </is>
      </c>
      <c r="I43" s="6" t="inlineStr">
        <is>
          <t>Commission</t>
        </is>
      </c>
      <c r="J43" s="6" t="inlineStr">
        <is>
          <t>https://law.justia.com/codes/tennessee/2025/title-55/chapter-17/part-1/section-55-17-121/ (mirror; official T.C.A. is LexisNexis-only)</t>
        </is>
      </c>
    </row>
    <row r="44">
      <c r="A44" s="6" t="inlineStr">
        <is>
          <t>TX</t>
        </is>
      </c>
      <c r="B44" s="6" t="inlineStr">
        <is>
          <t>Texas</t>
        </is>
      </c>
      <c r="C44" s="6" t="inlineStr">
        <is>
          <t>Statute</t>
        </is>
      </c>
      <c r="D44" s="6" t="inlineStr">
        <is>
          <t>Tex. Occ. Code § 2301.402</t>
        </is>
      </c>
      <c r="E44" s="6" t="inlineStr"/>
      <c r="F44" s="6" t="inlineStr">
        <is>
          <t>Texas DMV Board</t>
        </is>
      </c>
      <c r="G44" s="6" t="inlineStr">
        <is>
          <t>https://www.txdmv.gov/</t>
        </is>
      </c>
      <c r="H44" s="6" t="inlineStr">
        <is>
          <t>Agency</t>
        </is>
      </c>
      <c r="I44" s="6" t="inlineStr">
        <is>
          <t>TxDMV (mediation first), then State Office of Administrative Hearings</t>
        </is>
      </c>
      <c r="J44" s="6" t="inlineStr">
        <is>
          <t>https://statutes.capitol.texas.gov/Docs/OC/htm/OC.2301.htm (read via Legislature file server https://tcss.legis.texas.gov/resources/OC/htm/OC.2301.htm)</t>
        </is>
      </c>
    </row>
    <row r="45">
      <c r="A45" s="6" t="inlineStr">
        <is>
          <t>UT</t>
        </is>
      </c>
      <c r="B45" s="6" t="inlineStr">
        <is>
          <t>Utah</t>
        </is>
      </c>
      <c r="C45" s="6" t="inlineStr">
        <is>
          <t>Statute</t>
        </is>
      </c>
      <c r="D45" s="6" t="inlineStr">
        <is>
          <t>Utah Code § 13-14-204</t>
        </is>
      </c>
      <c r="E45" s="6" t="inlineStr"/>
      <c r="F45" s="6" t="inlineStr">
        <is>
          <t>Dept. of Commerce</t>
        </is>
      </c>
      <c r="G45" s="6" t="inlineStr">
        <is>
          <t>https://commerce.utah.gov/</t>
        </is>
      </c>
      <c r="H45" s="6" t="inlineStr">
        <is>
          <t>Agency or court</t>
        </is>
      </c>
      <c r="I45" s="6" t="inlineStr">
        <is>
          <t>Commerce (informal proceeding) or court</t>
        </is>
      </c>
      <c r="J45" s="6" t="inlineStr">
        <is>
          <t>https://le.utah.gov/xcode/Title13/Chapter14/13-14-S204.html (version C13-14-S204_2023050320230503, effective 5/3/2023)</t>
        </is>
      </c>
    </row>
    <row r="46">
      <c r="A46" s="6" t="inlineStr">
        <is>
          <t>VA</t>
        </is>
      </c>
      <c r="B46" s="6" t="inlineStr">
        <is>
          <t>Virginia</t>
        </is>
      </c>
      <c r="C46" s="6" t="inlineStr">
        <is>
          <t>Statute</t>
        </is>
      </c>
      <c r="D46" s="6" t="inlineStr">
        <is>
          <t>Va. Code Ann. § 46.2-1571</t>
        </is>
      </c>
      <c r="E46" s="6" t="inlineStr"/>
      <c r="F46" s="6" t="inlineStr">
        <is>
          <t>DMV Commissioner (Dealer Board licenses dealers)</t>
        </is>
      </c>
      <c r="G46" s="6" t="inlineStr">
        <is>
          <t>https://www.dmv.virginia.gov/</t>
        </is>
      </c>
      <c r="H46" s="6" t="inlineStr">
        <is>
          <t>Agency</t>
        </is>
      </c>
      <c r="I46" s="6" t="inlineStr">
        <is>
          <t>DMV Commissioner</t>
        </is>
      </c>
      <c r="J46" s="6" t="inlineStr">
        <is>
          <t>https://law.lis.virginia.gov/vacode/title46.2/chapter15/section46.2-1571/</t>
        </is>
      </c>
    </row>
    <row r="47">
      <c r="A47" s="6" t="inlineStr">
        <is>
          <t>VT</t>
        </is>
      </c>
      <c r="B47" s="6" t="inlineStr">
        <is>
          <t>Vermont</t>
        </is>
      </c>
      <c r="C47" s="6" t="inlineStr">
        <is>
          <t>Statute</t>
        </is>
      </c>
      <c r="D47" s="6" t="inlineStr">
        <is>
          <t>9 V.S.A. § 4086</t>
        </is>
      </c>
      <c r="E47" s="6" t="inlineStr"/>
      <c r="F47" s="6" t="inlineStr">
        <is>
          <t>Transportation Board</t>
        </is>
      </c>
      <c r="G47" s="6" t="inlineStr">
        <is>
          <t>https://tboard.vermont.gov/</t>
        </is>
      </c>
      <c r="H47" s="6" t="inlineStr">
        <is>
          <t>Agency or court</t>
        </is>
      </c>
      <c r="I47" s="6" t="inlineStr">
        <is>
          <t>Board or court</t>
        </is>
      </c>
      <c r="J47" s="6" t="inlineStr">
        <is>
          <t>https://legislature.vermont.gov/statutes/section/09/108/04086 (full chapter https://legislature.vermont.gov/statutes/fullchapter/09/108)</t>
        </is>
      </c>
    </row>
    <row r="48">
      <c r="A48" s="6" t="inlineStr">
        <is>
          <t>WA</t>
        </is>
      </c>
      <c r="B48" s="6" t="inlineStr">
        <is>
          <t>Washington</t>
        </is>
      </c>
      <c r="C48" s="6" t="inlineStr">
        <is>
          <t>Statute + agency rule</t>
        </is>
      </c>
      <c r="D48" s="6" t="inlineStr">
        <is>
          <t>RCW 46.96.105</t>
        </is>
      </c>
      <c r="E48" s="6" t="inlineStr">
        <is>
          <t>Dept. of Licensing rule: where the warranty requires prior approval, the manufacturer must give it within 10 days, except in emergencies (WAC 308-66-150(2)).</t>
        </is>
      </c>
      <c r="F48" s="6" t="inlineStr">
        <is>
          <t>Dept. of Licensing</t>
        </is>
      </c>
      <c r="G48" s="6" t="inlineStr">
        <is>
          <t>https://dol.wa.gov/</t>
        </is>
      </c>
      <c r="H48" s="6" t="inlineStr">
        <is>
          <t>Agency or court</t>
        </is>
      </c>
      <c r="I48" s="6" t="inlineStr">
        <is>
          <t>DOL proceeding or court</t>
        </is>
      </c>
      <c r="J48" s="6" t="inlineStr">
        <is>
          <t>https://app.leg.wa.gov/RCW/default.aspx?cite=46.96.105</t>
        </is>
      </c>
    </row>
    <row r="49">
      <c r="A49" s="6" t="inlineStr">
        <is>
          <t>WI</t>
        </is>
      </c>
      <c r="B49" s="6" t="inlineStr">
        <is>
          <t>Wisconsin</t>
        </is>
      </c>
      <c r="C49" s="6" t="inlineStr">
        <is>
          <t>Statute</t>
        </is>
      </c>
      <c r="D49" s="6" t="inlineStr">
        <is>
          <t>Wis. Stat. § 218.0125</t>
        </is>
      </c>
      <c r="E49" s="6" t="inlineStr"/>
      <c r="F49" s="6" t="inlineStr">
        <is>
          <t>Dept. of Transportation</t>
        </is>
      </c>
      <c r="G49" s="6" t="inlineStr">
        <is>
          <t>https://wisconsindot.gov/</t>
        </is>
      </c>
      <c r="H49" s="6" t="inlineStr">
        <is>
          <t>Agency or court</t>
        </is>
      </c>
      <c r="I49" s="6" t="inlineStr">
        <is>
          <t>Court or DOT licensing case</t>
        </is>
      </c>
      <c r="J49" s="6" t="inlineStr">
        <is>
          <t>https://docs.legis.wisconsin.gov/statutes/statutes/218/i/0125</t>
        </is>
      </c>
    </row>
    <row r="50">
      <c r="A50" s="6" t="inlineStr">
        <is>
          <t>WV</t>
        </is>
      </c>
      <c r="B50" s="6" t="inlineStr">
        <is>
          <t>West Virginia</t>
        </is>
      </c>
      <c r="C50" s="6" t="inlineStr">
        <is>
          <t>Statute</t>
        </is>
      </c>
      <c r="D50" s="6" t="inlineStr">
        <is>
          <t>W. Va. Code § 17A-6A-8a</t>
        </is>
      </c>
      <c r="E50" s="6" t="inlineStr"/>
      <c r="F50" s="6" t="inlineStr">
        <is>
          <t>None for manufacturers (DMV licenses dealers)</t>
        </is>
      </c>
      <c r="G50" s="6" t="inlineStr">
        <is>
          <t>https://dmv.wv.gov/</t>
        </is>
      </c>
      <c r="H50" s="6" t="inlineStr">
        <is>
          <t>Court</t>
        </is>
      </c>
      <c r="I50" s="6" t="inlineStr">
        <is>
          <t>Court</t>
        </is>
      </c>
      <c r="J50" s="6" t="inlineStr">
        <is>
          <t>https://code.wvlegislature.gov/17A-6A-8a/</t>
        </is>
      </c>
    </row>
    <row r="51">
      <c r="A51" s="6" t="inlineStr">
        <is>
          <t>WY</t>
        </is>
      </c>
      <c r="B51" s="6" t="inlineStr">
        <is>
          <t>Wyoming</t>
        </is>
      </c>
      <c r="C51" s="6" t="inlineStr">
        <is>
          <t>Statute</t>
        </is>
      </c>
      <c r="D51" s="6" t="inlineStr">
        <is>
          <t>Wyo. Stat. Ann. § 31-16-117</t>
        </is>
      </c>
      <c r="E51" s="6" t="inlineStr"/>
      <c r="F51" s="6" t="inlineStr">
        <is>
          <t>None for franchise matters (WYDOT licenses dealers)</t>
        </is>
      </c>
      <c r="G51" s="6" t="inlineStr">
        <is>
          <t>https://www.dot.state.wy.us/</t>
        </is>
      </c>
      <c r="H51" s="6" t="inlineStr">
        <is>
          <t>Court</t>
        </is>
      </c>
      <c r="I51" s="6" t="inlineStr">
        <is>
          <t>Mediation, then court</t>
        </is>
      </c>
      <c r="J51" s="6" t="inlineStr">
        <is>
          <t>https://wyoleg.gov/statutes/compress/title31.pdf (current Title 31) and enrolled act https://wyoleg.gov/2025/Enroll/SF0106.pdf</t>
        </is>
      </c>
    </row>
  </sheetData>
  <autoFilter ref="A1:J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6" customWidth="1" min="3" max="3"/>
    <col width="7" customWidth="1" min="4" max="4"/>
    <col width="30" customWidth="1" min="5" max="5"/>
    <col width="12" customWidth="1" min="6" max="6"/>
    <col width="40" customWidth="1" min="7" max="7"/>
    <col width="60" customWidth="1" min="8" max="8"/>
    <col width="40" customWidth="1" min="9" max="9"/>
    <col width="40" customWidth="1" min="10" max="10"/>
  </cols>
  <sheetData>
    <row r="1" ht="32" customHeight="1">
      <c r="A1" s="4" t="inlineStr">
        <is>
          <t>Check date</t>
        </is>
      </c>
      <c r="B1" s="4" t="inlineStr">
        <is>
          <t>Headline</t>
        </is>
      </c>
      <c r="C1" s="4" t="inlineStr">
        <is>
          <t>Category</t>
        </is>
      </c>
      <c r="D1" s="4" t="inlineStr">
        <is>
          <t>State</t>
        </is>
      </c>
      <c r="E1" s="4" t="inlineStr">
        <is>
          <t>Bill / act</t>
        </is>
      </c>
      <c r="F1" s="4" t="inlineStr">
        <is>
          <t>Effective</t>
        </is>
      </c>
      <c r="G1" s="4" t="inlineStr">
        <is>
          <t>Status</t>
        </is>
      </c>
      <c r="H1" s="4" t="inlineStr">
        <is>
          <t>Summary</t>
        </is>
      </c>
      <c r="I1" s="4" t="inlineStr">
        <is>
          <t>Atlas impact</t>
        </is>
      </c>
      <c r="J1" s="4" t="inlineStr">
        <is>
          <t>Source</t>
        </is>
      </c>
    </row>
    <row r="2">
      <c r="A2" s="6" t="inlineStr">
        <is>
          <t>2026-10-23</t>
        </is>
      </c>
      <c r="B2" s="6" t="inlineStr">
        <is>
          <t>Audit brief added for Florida, California, Illinois and Arkansas: what to know before auditing paid factory-warranty claims, on the state page and as a PDF (summary table plus notes); 10 matrix fields corrected</t>
        </is>
      </c>
      <c r="C2" s="6" t="inlineStr">
        <is>
          <t>pending</t>
        </is>
      </c>
      <c r="D2" s="6" t="inlineStr">
        <is>
          <t>PA</t>
        </is>
      </c>
      <c r="E2" s="6" t="inlineStr">
        <is>
          <t>SB 1182 (2025-26), PN 1866</t>
        </is>
      </c>
      <c r="F2" s="6" t="inlineStr"/>
      <c r="G2" s="6" t="inlineStr">
        <is>
          <t>Official page returned HTTP 503 this run; search found no new action. Prior status carried forward. Not law.</t>
        </is>
      </c>
      <c r="H2" s="6" t="inlineStr">
        <is>
          <t>No committee action since referral; still pending.</t>
        </is>
      </c>
      <c r="I2" s="6" t="inlineStr">
        <is>
          <t>Watch only, unchanged.</t>
        </is>
      </c>
      <c r="J2" s="6" t="inlineStr">
        <is>
          <t>https://www.palegis.us/legislation/bills/2025/sb1182</t>
        </is>
      </c>
    </row>
    <row r="3">
      <c r="A3" s="6" t="inlineStr">
        <is>
          <t>2026-10-23</t>
        </is>
      </c>
      <c r="B3" s="6" t="inlineStr">
        <is>
          <t>Audit brief added for Florida, California, Illinois and Arkansas: what to know before auditing paid factory-warranty claims, on the state page and as a PDF (summary table plus notes); 10 matrix fields corrected</t>
        </is>
      </c>
      <c r="C3" s="6" t="inlineStr">
        <is>
          <t>pending</t>
        </is>
      </c>
      <c r="D3" s="6" t="inlineStr">
        <is>
          <t>NY</t>
        </is>
      </c>
      <c r="E3" s="6" t="inlineStr">
        <is>
          <t>A8773 (Magnarelli) / S8360 (Cooney), 2025-26</t>
        </is>
      </c>
      <c r="F3" s="6" t="inlineStr"/>
      <c r="G3" s="6" t="inlineStr">
        <is>
          <t>Re-checked on nyassembly.gov 10/19/2026: passed Assembly 06/01/2026, delivered to Senate, referred to Rules; no Senate action since.</t>
        </is>
      </c>
      <c r="H3" s="6" t="inlineStr">
        <is>
          <t>No Senate action since referral; still pending.</t>
        </is>
      </c>
      <c r="I3" s="6" t="inlineStr">
        <is>
          <t>Watch only, unchanged.</t>
        </is>
      </c>
      <c r="J3" s="6" t="inlineStr">
        <is>
          <t>https://nyassembly.gov/leg/?default_fld=&amp;leg_video=&amp;bn=A08773&amp;term=2025&amp;Summary=Y&amp;Actions=Y</t>
        </is>
      </c>
    </row>
    <row r="4">
      <c r="A4" s="6" t="inlineStr">
        <is>
          <t>2026-10-23</t>
        </is>
      </c>
      <c r="B4" s="6" t="inlineStr">
        <is>
          <t>Audit brief added for Florida, California, Illinois and Arkansas: what to know before auditing paid factory-warranty claims, on the state page and as a PDF (summary table plus notes); 10 matrix fields corrected</t>
        </is>
      </c>
      <c r="C4" s="6" t="inlineStr">
        <is>
          <t>pending</t>
        </is>
      </c>
      <c r="D4" s="6" t="inlineStr">
        <is>
          <t>IL</t>
        </is>
      </c>
      <c r="E4" s="6" t="inlineStr">
        <is>
          <t>SB1939 (104th GA), as amended by Senate Floor Amendments 1-2</t>
        </is>
      </c>
      <c r="F4" s="6" t="inlineStr"/>
      <c r="G4" s="6" t="inlineStr">
        <is>
          <t>Official page returned HTTP 503 this run; search found no new action. Prior status carried forward. Not law.</t>
        </is>
      </c>
      <c r="H4" s="6" t="inlineStr">
        <is>
          <t>No House action since Rules re-assignment; still pending.</t>
        </is>
      </c>
      <c r="I4" s="6" t="inlineStr">
        <is>
          <t>Watch only, unchanged.</t>
        </is>
      </c>
      <c r="J4" s="6" t="inlineStr">
        <is>
          <t>https://www.ilga.gov/Legislation/BillStatus?DocNum=1939&amp;GAID=18&amp;DocTypeID=SB&amp;SessionID=114</t>
        </is>
      </c>
    </row>
    <row r="5">
      <c r="A5" s="6" t="inlineStr">
        <is>
          <t>2026-10-19</t>
        </is>
      </c>
      <c r="B5" s="6" t="inlineStr">
        <is>
          <t>0 enacted changes, 3 pending bills unchanged, 0 law-data updates</t>
        </is>
      </c>
      <c r="C5" s="6" t="inlineStr">
        <is>
          <t>pending</t>
        </is>
      </c>
      <c r="D5" s="6" t="inlineStr">
        <is>
          <t>PA</t>
        </is>
      </c>
      <c r="E5" s="6" t="inlineStr">
        <is>
          <t>SB 1182 (2025-26), PN 1866</t>
        </is>
      </c>
      <c r="F5" s="6" t="inlineStr"/>
      <c r="G5" s="6" t="inlineStr">
        <is>
          <t>Official page returned HTTP 503 this run; search found no new action. Prior status carried forward. Not law.</t>
        </is>
      </c>
      <c r="H5" s="6" t="inlineStr">
        <is>
          <t>No committee action since referral; still pending.</t>
        </is>
      </c>
      <c r="I5" s="6" t="inlineStr">
        <is>
          <t>Watch only, unchanged.</t>
        </is>
      </c>
      <c r="J5" s="6" t="inlineStr">
        <is>
          <t>https://www.palegis.us/legislation/bills/2025/sb1182</t>
        </is>
      </c>
    </row>
    <row r="6">
      <c r="A6" s="6" t="inlineStr">
        <is>
          <t>2026-10-19</t>
        </is>
      </c>
      <c r="B6" s="6" t="inlineStr">
        <is>
          <t>0 enacted changes, 3 pending bills unchanged, 0 law-data updates</t>
        </is>
      </c>
      <c r="C6" s="6" t="inlineStr">
        <is>
          <t>pending</t>
        </is>
      </c>
      <c r="D6" s="6" t="inlineStr">
        <is>
          <t>NY</t>
        </is>
      </c>
      <c r="E6" s="6" t="inlineStr">
        <is>
          <t>A8773 (Magnarelli) / S8360 (Cooney), 2025-26</t>
        </is>
      </c>
      <c r="F6" s="6" t="inlineStr"/>
      <c r="G6" s="6" t="inlineStr">
        <is>
          <t>Re-checked on nyassembly.gov 10/19/2026: passed Assembly 06/01/2026, delivered to Senate, referred to Rules; no Senate action since.</t>
        </is>
      </c>
      <c r="H6" s="6" t="inlineStr">
        <is>
          <t>No Senate action since referral; still pending.</t>
        </is>
      </c>
      <c r="I6" s="6" t="inlineStr">
        <is>
          <t>Watch only, unchanged.</t>
        </is>
      </c>
      <c r="J6" s="6" t="inlineStr">
        <is>
          <t>https://nyassembly.gov/leg/?default_fld=&amp;leg_video=&amp;bn=A08773&amp;term=2025&amp;Summary=Y&amp;Actions=Y</t>
        </is>
      </c>
    </row>
    <row r="7">
      <c r="A7" s="6" t="inlineStr">
        <is>
          <t>2026-10-19</t>
        </is>
      </c>
      <c r="B7" s="6" t="inlineStr">
        <is>
          <t>0 enacted changes, 3 pending bills unchanged, 0 law-data updates</t>
        </is>
      </c>
      <c r="C7" s="6" t="inlineStr">
        <is>
          <t>pending</t>
        </is>
      </c>
      <c r="D7" s="6" t="inlineStr">
        <is>
          <t>IL</t>
        </is>
      </c>
      <c r="E7" s="6" t="inlineStr">
        <is>
          <t>SB1939 (104th GA), as amended by Senate Floor Amendments 1-2</t>
        </is>
      </c>
      <c r="F7" s="6" t="inlineStr"/>
      <c r="G7" s="6" t="inlineStr">
        <is>
          <t>Official page returned HTTP 503 this run; search found no new action. Prior status carried forward. Not law.</t>
        </is>
      </c>
      <c r="H7" s="6" t="inlineStr">
        <is>
          <t>No House action since Rules re-assignment; still pending.</t>
        </is>
      </c>
      <c r="I7" s="6" t="inlineStr">
        <is>
          <t>Watch only, unchanged.</t>
        </is>
      </c>
      <c r="J7" s="6" t="inlineStr">
        <is>
          <t>https://www.ilga.gov/Legislation/BillStatus?DocNum=1939&amp;GAID=18&amp;DocTypeID=SB&amp;SessionID=114</t>
        </is>
      </c>
    </row>
    <row r="8">
      <c r="A8" s="6" t="inlineStr">
        <is>
          <t>2026-10-12</t>
        </is>
      </c>
      <c r="B8" s="6" t="inlineStr">
        <is>
          <t>0 enacted changes, 3 pending bills unchanged, 0 law-data updates</t>
        </is>
      </c>
      <c r="C8" s="6" t="inlineStr">
        <is>
          <t>pending</t>
        </is>
      </c>
      <c r="D8" s="6" t="inlineStr">
        <is>
          <t>PA</t>
        </is>
      </c>
      <c r="E8" s="6" t="inlineStr">
        <is>
          <t>SB 1182 (2025-26), PN 1866</t>
        </is>
      </c>
      <c r="F8" s="6" t="inlineStr"/>
      <c r="G8" s="6" t="inlineStr">
        <is>
          <t>Official page returned HTTP 503 this run; search found no new action. Prior status carried forward (House Commerce, last action 07/01/2026). Not law.</t>
        </is>
      </c>
      <c r="H8" s="6" t="inlineStr">
        <is>
          <t>No committee action since referral; still pending.</t>
        </is>
      </c>
      <c r="I8" s="6" t="inlineStr">
        <is>
          <t>Watch only, unchanged.</t>
        </is>
      </c>
      <c r="J8" s="6" t="inlineStr">
        <is>
          <t>https://www.palegis.us/legislation/bills/2025/sb1182</t>
        </is>
      </c>
    </row>
    <row r="9">
      <c r="A9" s="6" t="inlineStr">
        <is>
          <t>2026-10-12</t>
        </is>
      </c>
      <c r="B9" s="6" t="inlineStr">
        <is>
          <t>0 enacted changes, 3 pending bills unchanged, 0 law-data updates</t>
        </is>
      </c>
      <c r="C9" s="6" t="inlineStr">
        <is>
          <t>pending</t>
        </is>
      </c>
      <c r="D9" s="6" t="inlineStr">
        <is>
          <t>NY</t>
        </is>
      </c>
      <c r="E9" s="6" t="inlineStr">
        <is>
          <t>A8773 (Magnarelli) / S8360 (Cooney), 2025-26</t>
        </is>
      </c>
      <c r="F9" s="6" t="inlineStr"/>
      <c r="G9" s="6" t="inlineStr">
        <is>
          <t>Re-checked on nyassembly.gov 10/12/2026: passed Assembly 06/01/2026, referred to Senate Rules; no Senate action.</t>
        </is>
      </c>
      <c r="H9" s="6" t="inlineStr">
        <is>
          <t>No Senate action since referral; still pending.</t>
        </is>
      </c>
      <c r="I9" s="6" t="inlineStr">
        <is>
          <t>Watch only, unchanged.</t>
        </is>
      </c>
      <c r="J9" s="6" t="inlineStr">
        <is>
          <t>https://nyassembly.gov/leg/?default_fld=&amp;leg_video=&amp;bn=A08773&amp;term=2025&amp;Summary=Y&amp;Actions=Y</t>
        </is>
      </c>
    </row>
    <row r="10">
      <c r="A10" s="6" t="inlineStr">
        <is>
          <t>2026-10-12</t>
        </is>
      </c>
      <c r="B10" s="6" t="inlineStr">
        <is>
          <t>0 enacted changes, 3 pending bills unchanged, 0 law-data updates</t>
        </is>
      </c>
      <c r="C10" s="6" t="inlineStr">
        <is>
          <t>pending</t>
        </is>
      </c>
      <c r="D10" s="6" t="inlineStr">
        <is>
          <t>IL</t>
        </is>
      </c>
      <c r="E10" s="6" t="inlineStr">
        <is>
          <t>SB1939 (104th GA), as amended by Senate Floor Amendments 1-2</t>
        </is>
      </c>
      <c r="F10" s="6" t="inlineStr"/>
      <c r="G10" s="6" t="inlineStr">
        <is>
          <t>Official page returned HTTP 503 this run; search found no new action. Prior status carried forward (House Rules). Not law.</t>
        </is>
      </c>
      <c r="H10" s="6" t="inlineStr">
        <is>
          <t>No House action since Rules re-assignment; still pending.</t>
        </is>
      </c>
      <c r="I10" s="6" t="inlineStr">
        <is>
          <t>Watch only, unchanged.</t>
        </is>
      </c>
      <c r="J10" s="6" t="inlineStr">
        <is>
          <t>https://www.ilga.gov/Legislation/BillStatus?DocNum=1939&amp;GAID=18&amp;DocTypeID=SB&amp;SessionID=114</t>
        </is>
      </c>
    </row>
    <row r="11">
      <c r="A11" s="6" t="inlineStr">
        <is>
          <t>2026-10-06</t>
        </is>
      </c>
      <c r="B11" s="6" t="inlineStr">
        <is>
          <t>Source review: all 50 states' agency rules checked; Tennessee limits added from Commission rules; Rhode Island 10/1 law moved into current data; 23 matrix fields updated</t>
        </is>
      </c>
      <c r="C11" s="6" t="inlineStr">
        <is>
          <t>pending</t>
        </is>
      </c>
      <c r="D11" s="6" t="inlineStr">
        <is>
          <t>PA</t>
        </is>
      </c>
      <c r="E11" s="6" t="inlineStr">
        <is>
          <t>SB 1182 (2025-26), PN 1866</t>
        </is>
      </c>
      <c r="F11" s="6" t="inlineStr"/>
      <c r="G11" s="6" t="inlineStr">
        <is>
          <t>Pending in House Commerce (hearing listed 10/5/2026); not law.</t>
        </is>
      </c>
      <c r="H11" s="6" t="inlineStr">
        <is>
          <t>No committee action since referral; still pending.</t>
        </is>
      </c>
      <c r="I11" s="6" t="inlineStr">
        <is>
          <t>Watch only, unchanged.</t>
        </is>
      </c>
      <c r="J11" s="6" t="inlineStr">
        <is>
          <t>https://www.palegis.us/legislation/bills/2025/sb1182</t>
        </is>
      </c>
    </row>
    <row r="12">
      <c r="A12" s="6" t="inlineStr">
        <is>
          <t>2026-10-06</t>
        </is>
      </c>
      <c r="B12" s="6" t="inlineStr">
        <is>
          <t>Source review: all 50 states' agency rules checked; Tennessee limits added from Commission rules; Rhode Island 10/1 law moved into current data; 23 matrix fields updated</t>
        </is>
      </c>
      <c r="C12" s="6" t="inlineStr">
        <is>
          <t>pending</t>
        </is>
      </c>
      <c r="D12" s="6" t="inlineStr">
        <is>
          <t>NY</t>
        </is>
      </c>
      <c r="E12" s="6" t="inlineStr">
        <is>
          <t>A8773 (Magnarelli) / S8360 (Cooney), 2025-26</t>
        </is>
      </c>
      <c r="F12" s="6" t="inlineStr"/>
      <c r="G12" s="6" t="inlineStr">
        <is>
          <t>Passed Assembly 06/01/2026; in Senate Rules. No Senate action (official record checked 10/6/2026).</t>
        </is>
      </c>
      <c r="H12" s="6" t="inlineStr">
        <is>
          <t>No Senate action since referral; still pending.</t>
        </is>
      </c>
      <c r="I12" s="6" t="inlineStr">
        <is>
          <t>Watch only, unchanged.</t>
        </is>
      </c>
      <c r="J12" s="6" t="inlineStr">
        <is>
          <t>https://nyassembly.gov/leg/?default_fld=&amp;leg_video=&amp;bn=A08773&amp;term=2025&amp;Summary=Y&amp;Actions=Y</t>
        </is>
      </c>
    </row>
    <row r="13">
      <c r="A13" s="6" t="inlineStr">
        <is>
          <t>2026-10-06</t>
        </is>
      </c>
      <c r="B13" s="6" t="inlineStr">
        <is>
          <t>Source review: all 50 states' agency rules checked; Tennessee limits added from Commission rules; Rhode Island 10/1 law moved into current data; 23 matrix fields updated</t>
        </is>
      </c>
      <c r="C13" s="6" t="inlineStr">
        <is>
          <t>pending</t>
        </is>
      </c>
      <c r="D13" s="6" t="inlineStr">
        <is>
          <t>IL</t>
        </is>
      </c>
      <c r="E13" s="6" t="inlineStr">
        <is>
          <t>SB1939 (104th GA), as amended by Senate Floor Amendments 1-2</t>
        </is>
      </c>
      <c r="F13" s="6" t="inlineStr"/>
      <c r="G13" s="6" t="inlineStr">
        <is>
          <t>No new action found in search this run (not re-verified on the official site; prior status carried forward). Still pending as of 10/6/2026 (HB5197, introduced 2/10/2026, also in House Rules).</t>
        </is>
      </c>
      <c r="H13" s="6" t="inlineStr">
        <is>
          <t>No House action since Rules re-assignment; still pending.</t>
        </is>
      </c>
      <c r="I13" s="6" t="inlineStr">
        <is>
          <t>Watch only, unchanged.</t>
        </is>
      </c>
      <c r="J13" s="6" t="inlineStr">
        <is>
          <t>https://www.ilga.gov/Legislation/BillStatus?DocNum=1939&amp;GAID=18&amp;DocTypeID=SB&amp;SessionID=114</t>
        </is>
      </c>
    </row>
    <row r="14">
      <c r="A14" s="6" t="inlineStr">
        <is>
          <t>2026-10-05</t>
        </is>
      </c>
      <c r="B14" s="6" t="inlineStr">
        <is>
          <t>0 enacted changes, 3 pending bills (1 moved earlier than logged), 0 law-data updates; 4 laws reached 10/1/2026 effective date</t>
        </is>
      </c>
      <c r="C14" s="6" t="inlineStr">
        <is>
          <t>enacted_recent</t>
        </is>
      </c>
      <c r="D14" s="6" t="inlineStr">
        <is>
          <t>RI</t>
        </is>
      </c>
      <c r="E14" s="6" t="inlineStr">
        <is>
          <t>2026 S 2347 Sub A (P.L. 2026, ch. 180) / H 8213 Sub A (P.L. 2026, ch. 179)</t>
        </is>
      </c>
      <c r="F14" s="6" t="inlineStr">
        <is>
          <t>2026-10-01</t>
        </is>
      </c>
      <c r="G14" s="6" t="inlineStr">
        <is>
          <t>Effective 10/01/2026 reached; no lawsuit or injunction found in search.</t>
        </is>
      </c>
      <c r="H14" s="6" t="inlineStr">
        <is>
          <t>Actual-technician-time warranty labor rule; no change since baseline.</t>
        </is>
      </c>
      <c r="I14" s="6" t="inlineStr">
        <is>
          <t>Now in effect; site date selector applies it automatically. No data change.</t>
        </is>
      </c>
      <c r="J14" s="6" t="inlineStr">
        <is>
          <t>https://webserver.rilegislature.gov/PublicLaws/law26/law26180.htm</t>
        </is>
      </c>
    </row>
    <row r="15">
      <c r="A15" s="6" t="inlineStr">
        <is>
          <t>2026-10-05</t>
        </is>
      </c>
      <c r="B15" s="6" t="inlineStr">
        <is>
          <t>0 enacted changes, 3 pending bills (1 moved earlier than logged), 0 law-data updates; 4 laws reached 10/1/2026 effective date</t>
        </is>
      </c>
      <c r="C15" s="6" t="inlineStr">
        <is>
          <t>enacted_recent</t>
        </is>
      </c>
      <c r="D15" s="6" t="inlineStr">
        <is>
          <t>NE</t>
        </is>
      </c>
      <c r="E15" s="6" t="inlineStr">
        <is>
          <t>LB972 (2026), Sec. 70</t>
        </is>
      </c>
      <c r="F15" s="6" t="inlineStr">
        <is>
          <t>2026-10-01</t>
        </is>
      </c>
      <c r="G15" s="6" t="inlineStr">
        <is>
          <t>Effective 10/01/2026 reached; no lawsuit or injunction found in search.</t>
        </is>
      </c>
      <c r="H15" s="6" t="inlineStr">
        <is>
          <t>RV scope carve-out; no change since baseline.</t>
        </is>
      </c>
      <c r="I15" s="6" t="inlineStr">
        <is>
          <t>Now in effect; site date selector applies it automatically. No data change.</t>
        </is>
      </c>
      <c r="J15" s="6" t="inlineStr">
        <is>
          <t>https://nebraskalegislature.gov/FloorDocs/109/PDF/Slip/LB972.pdf</t>
        </is>
      </c>
    </row>
    <row r="16">
      <c r="A16" s="6" t="inlineStr">
        <is>
          <t>2026-10-05</t>
        </is>
      </c>
      <c r="B16" s="6" t="inlineStr">
        <is>
          <t>0 enacted changes, 3 pending bills (1 moved earlier than logged), 0 law-data updates; 4 laws reached 10/1/2026 effective date</t>
        </is>
      </c>
      <c r="C16" s="6" t="inlineStr">
        <is>
          <t>enacted_recent</t>
        </is>
      </c>
      <c r="D16" s="6" t="inlineStr">
        <is>
          <t>CT</t>
        </is>
      </c>
      <c r="E16" s="6" t="inlineStr">
        <is>
          <t>Public Act 26-24 (sSB 413), §§ 20-25</t>
        </is>
      </c>
      <c r="F16" s="6" t="inlineStr">
        <is>
          <t>2026-10-01</t>
        </is>
      </c>
      <c r="G16" s="6" t="inlineStr">
        <is>
          <t>Effective 10/01/2026 reached; no lawsuit or injunction found in search.</t>
        </is>
      </c>
      <c r="H16" s="6" t="inlineStr">
        <is>
          <t>Stop-sale/recall inventory compensation; no change since baseline.</t>
        </is>
      </c>
      <c r="I16" s="6" t="inlineStr">
        <is>
          <t>Now in effect; site date selector applies it automatically. No data change.</t>
        </is>
      </c>
      <c r="J16" s="6" t="inlineStr">
        <is>
          <t>https://www.cga.ct.gov/2026/ACT/PA/PDF/2026PA-00024-R00SB-00413-PA.PDF</t>
        </is>
      </c>
    </row>
    <row r="17">
      <c r="A17" s="6" t="inlineStr">
        <is>
          <t>2026-10-05</t>
        </is>
      </c>
      <c r="B17" s="6" t="inlineStr">
        <is>
          <t>0 enacted changes, 3 pending bills (1 moved earlier than logged), 0 law-data updates; 4 laws reached 10/1/2026 effective date</t>
        </is>
      </c>
      <c r="C17" s="6" t="inlineStr">
        <is>
          <t>enacted_recent</t>
        </is>
      </c>
      <c r="D17" s="6" t="inlineStr">
        <is>
          <t>MD</t>
        </is>
      </c>
      <c r="E17" s="6" t="inlineStr">
        <is>
          <t>2026 SB 345 (Chapter 463; cross-filed HB 1214)</t>
        </is>
      </c>
      <c r="F17" s="6" t="inlineStr">
        <is>
          <t>2026-10-01</t>
        </is>
      </c>
      <c r="G17" s="6" t="inlineStr">
        <is>
          <t>Effective 10/01/2026 reached; no lawsuit or injunction found in search.</t>
        </is>
      </c>
      <c r="H17" s="6" t="inlineStr">
        <is>
          <t>MVA hearing route for association disputes; no change since baseline.</t>
        </is>
      </c>
      <c r="I17" s="6" t="inlineStr">
        <is>
          <t>Now in effect; site date selector applies it automatically. No data change.</t>
        </is>
      </c>
      <c r="J17" s="6" t="inlineStr">
        <is>
          <t>https://mgaleg.maryland.gov/mgawebsite/Legislation/Details/sb0345?ys=2026RS</t>
        </is>
      </c>
    </row>
    <row r="18">
      <c r="A18" s="6" t="inlineStr">
        <is>
          <t>2026-10-05</t>
        </is>
      </c>
      <c r="B18" s="6" t="inlineStr">
        <is>
          <t>0 enacted changes, 3 pending bills (1 moved earlier than logged), 0 law-data updates; 4 laws reached 10/1/2026 effective date</t>
        </is>
      </c>
      <c r="C18" s="6" t="inlineStr">
        <is>
          <t>pending</t>
        </is>
      </c>
      <c r="D18" s="6" t="inlineStr">
        <is>
          <t>PA</t>
        </is>
      </c>
      <c r="E18" s="6" t="inlineStr">
        <is>
          <t>SB 1182 (2025-26), PN 1866</t>
        </is>
      </c>
      <c r="F18" s="6" t="inlineStr"/>
      <c r="G18" s="6" t="inlineStr">
        <is>
          <t>No new action found in search this run (not re-verified on the official site; prior status carried forward).</t>
        </is>
      </c>
      <c r="H18" s="6" t="inlineStr">
        <is>
          <t>No committee action since referral; still pending.</t>
        </is>
      </c>
      <c r="I18" s="6" t="inlineStr">
        <is>
          <t>Watch only, unchanged.</t>
        </is>
      </c>
      <c r="J18" s="6" t="inlineStr">
        <is>
          <t>https://www.palegis.us/legislation/bills/2025/sb1182</t>
        </is>
      </c>
    </row>
    <row r="19">
      <c r="A19" s="6" t="inlineStr">
        <is>
          <t>2026-10-05</t>
        </is>
      </c>
      <c r="B19" s="6" t="inlineStr">
        <is>
          <t>0 enacted changes, 3 pending bills (1 moved earlier than logged), 0 law-data updates; 4 laws reached 10/1/2026 effective date</t>
        </is>
      </c>
      <c r="C19" s="6" t="inlineStr">
        <is>
          <t>pending</t>
        </is>
      </c>
      <c r="D19" s="6" t="inlineStr">
        <is>
          <t>NY</t>
        </is>
      </c>
      <c r="E19" s="6" t="inlineStr">
        <is>
          <t>A8773 (Magnarelli) / S8360 (Cooney), 2025-26</t>
        </is>
      </c>
      <c r="F19" s="6" t="inlineStr"/>
      <c r="G19" s="6" t="inlineStr">
        <is>
          <t>Official record: passed Assembly 06/01/2026, delivered to Senate, referred to Rules. No Senate action since.</t>
        </is>
      </c>
      <c r="H19" s="6" t="inlineStr">
        <is>
          <t>No Senate action since referral; still pending.</t>
        </is>
      </c>
      <c r="I19" s="6" t="inlineStr">
        <is>
          <t>Watch only, unchanged.</t>
        </is>
      </c>
      <c r="J19" s="6" t="inlineStr">
        <is>
          <t>https://nyassembly.gov/leg/?default_fld=&amp;leg_video=&amp;bn=A08773&amp;term=2025&amp;Summary=Y&amp;Actions=Y</t>
        </is>
      </c>
    </row>
    <row r="20">
      <c r="A20" s="6" t="inlineStr">
        <is>
          <t>2026-10-05</t>
        </is>
      </c>
      <c r="B20" s="6" t="inlineStr">
        <is>
          <t>0 enacted changes, 3 pending bills (1 moved earlier than logged), 0 law-data updates; 4 laws reached 10/1/2026 effective date</t>
        </is>
      </c>
      <c r="C20" s="6" t="inlineStr">
        <is>
          <t>pending</t>
        </is>
      </c>
      <c r="D20" s="6" t="inlineStr">
        <is>
          <t>IL</t>
        </is>
      </c>
      <c r="E20" s="6" t="inlineStr">
        <is>
          <t>SB1939 (104th GA), as amended by Senate Floor Amendments 1-2</t>
        </is>
      </c>
      <c r="F20" s="6" t="inlineStr"/>
      <c r="G20" s="6" t="inlineStr">
        <is>
          <t>No new action found in search this run (not re-verified on the official site; prior status carried forward).</t>
        </is>
      </c>
      <c r="H20" s="6" t="inlineStr">
        <is>
          <t>No House action since Rules re-assignment; still pending.</t>
        </is>
      </c>
      <c r="I20" s="6" t="inlineStr">
        <is>
          <t>Watch only, unchanged.</t>
        </is>
      </c>
      <c r="J20" s="6" t="inlineStr">
        <is>
          <t>https://www.ilga.gov/Legislation/BillStatus?DocNum=1939&amp;GAID=18&amp;DocTypeID=SB&amp;SessionID=114</t>
        </is>
      </c>
    </row>
    <row r="21">
      <c r="A21" s="6" t="inlineStr">
        <is>
          <t>2026-09-28</t>
        </is>
      </c>
      <c r="B21" s="6" t="inlineStr">
        <is>
          <t>0 enacted changes, 3 pending bills unchanged, 0 law-data updates</t>
        </is>
      </c>
      <c r="C21" s="6" t="inlineStr">
        <is>
          <t>enacted_upcoming</t>
        </is>
      </c>
      <c r="D21" s="6" t="inlineStr">
        <is>
          <t>RI</t>
        </is>
      </c>
      <c r="E21" s="6" t="inlineStr">
        <is>
          <t>2026 S 2347 Sub A (P.L. 2026, ch. 180) / H 8213 Sub A (P.L. 2026, ch. 179)</t>
        </is>
      </c>
      <c r="F21" s="6" t="inlineStr">
        <is>
          <t>2026-10-01</t>
        </is>
      </c>
      <c r="G21" s="6" t="inlineStr">
        <is>
          <t>Confirmed unchanged: signed 06/22/2026, takes effect 10/01/2026. No lawsuit or injunction against the actual-time law found in a fresh search.</t>
        </is>
      </c>
      <c r="H21" s="6" t="inlineStr">
        <is>
          <t>Actual-technician-time warranty labor rule; no change since baseline.</t>
        </is>
      </c>
      <c r="I21" s="6" t="inlineStr">
        <is>
          <t>No change from baseline.</t>
        </is>
      </c>
      <c r="J21" s="6" t="inlineStr">
        <is>
          <t>https://webserver.rilegislature.gov/PublicLaws/law26/law26180.htm</t>
        </is>
      </c>
    </row>
    <row r="22">
      <c r="A22" s="6" t="inlineStr">
        <is>
          <t>2026-09-28</t>
        </is>
      </c>
      <c r="B22" s="6" t="inlineStr">
        <is>
          <t>0 enacted changes, 3 pending bills unchanged, 0 law-data updates</t>
        </is>
      </c>
      <c r="C22" s="6" t="inlineStr">
        <is>
          <t>enacted_upcoming</t>
        </is>
      </c>
      <c r="D22" s="6" t="inlineStr">
        <is>
          <t>NE</t>
        </is>
      </c>
      <c r="E22" s="6" t="inlineStr">
        <is>
          <t>LB972 (2026), Sec. 70</t>
        </is>
      </c>
      <c r="F22" s="6" t="inlineStr">
        <is>
          <t>2026-10-01</t>
        </is>
      </c>
      <c r="G22" s="6" t="inlineStr">
        <is>
          <t>Confirmed unchanged: approved 04/14/2026, Sec. 70 operative 10/01/2026 per Sec. 84.</t>
        </is>
      </c>
      <c r="H22" s="6" t="inlineStr">
        <is>
          <t>RV scope carve-out; no change since baseline.</t>
        </is>
      </c>
      <c r="I22" s="6" t="inlineStr">
        <is>
          <t>No change from baseline.</t>
        </is>
      </c>
      <c r="J22" s="6" t="inlineStr">
        <is>
          <t>https://nebraskalegislature.gov/FloorDocs/109/PDF/Slip/LB972.pdf</t>
        </is>
      </c>
    </row>
    <row r="23">
      <c r="A23" s="6" t="inlineStr">
        <is>
          <t>2026-09-28</t>
        </is>
      </c>
      <c r="B23" s="6" t="inlineStr">
        <is>
          <t>0 enacted changes, 3 pending bills unchanged, 0 law-data updates</t>
        </is>
      </c>
      <c r="C23" s="6" t="inlineStr">
        <is>
          <t>enacted_upcoming</t>
        </is>
      </c>
      <c r="D23" s="6" t="inlineStr">
        <is>
          <t>CT</t>
        </is>
      </c>
      <c r="E23" s="6" t="inlineStr">
        <is>
          <t>Public Act 26-24 (sSB 413), §§ 20-25</t>
        </is>
      </c>
      <c r="F23" s="6" t="inlineStr">
        <is>
          <t>2026-10-01</t>
        </is>
      </c>
      <c r="G23" s="6" t="inlineStr">
        <is>
          <t>Confirmed unchanged: signed 05/27/2026, §§ 20-25 effective 10/01/2026.</t>
        </is>
      </c>
      <c r="H23" s="6" t="inlineStr">
        <is>
          <t>Stop-sale/recall inventory compensation; no change since baseline.</t>
        </is>
      </c>
      <c r="I23" s="6" t="inlineStr">
        <is>
          <t>No change from baseline.</t>
        </is>
      </c>
      <c r="J23" s="6" t="inlineStr">
        <is>
          <t>https://www.cga.ct.gov/2026/ACT/PA/PDF/2026PA-00024-R00SB-00413-PA.PDF</t>
        </is>
      </c>
    </row>
    <row r="24">
      <c r="A24" s="6" t="inlineStr">
        <is>
          <t>2026-09-28</t>
        </is>
      </c>
      <c r="B24" s="6" t="inlineStr">
        <is>
          <t>0 enacted changes, 3 pending bills unchanged, 0 law-data updates</t>
        </is>
      </c>
      <c r="C24" s="6" t="inlineStr">
        <is>
          <t>enacted_upcoming</t>
        </is>
      </c>
      <c r="D24" s="6" t="inlineStr">
        <is>
          <t>MD</t>
        </is>
      </c>
      <c r="E24" s="6" t="inlineStr">
        <is>
          <t>2026 SB 345 (Chapter 463; cross-filed HB 1214)</t>
        </is>
      </c>
      <c r="F24" s="6" t="inlineStr">
        <is>
          <t>2026-10-01</t>
        </is>
      </c>
      <c r="G24" s="6" t="inlineStr">
        <is>
          <t>Confirmed unchanged: approved 05/12/2026, effective 10/01/2026.</t>
        </is>
      </c>
      <c r="H24" s="6" t="inlineStr">
        <is>
          <t>MVA hearing route for association disputes; no change since baseline.</t>
        </is>
      </c>
      <c r="I24" s="6" t="inlineStr">
        <is>
          <t>No change from baseline.</t>
        </is>
      </c>
      <c r="J24" s="6" t="inlineStr">
        <is>
          <t>https://mgaleg.maryland.gov/mgawebsite/Legislation/Details/sb0345?ys=2026RS</t>
        </is>
      </c>
    </row>
    <row r="25">
      <c r="A25" s="6" t="inlineStr">
        <is>
          <t>2026-09-28</t>
        </is>
      </c>
      <c r="B25" s="6" t="inlineStr">
        <is>
          <t>0 enacted changes, 3 pending bills unchanged, 0 law-data updates</t>
        </is>
      </c>
      <c r="C25" s="6" t="inlineStr">
        <is>
          <t>pending</t>
        </is>
      </c>
      <c r="D25" s="6" t="inlineStr">
        <is>
          <t>PA</t>
        </is>
      </c>
      <c r="E25" s="6" t="inlineStr">
        <is>
          <t>SB 1182 (2025-26), PN 1866</t>
        </is>
      </c>
      <c r="F25" s="6" t="inlineStr"/>
      <c r="G25" s="6" t="inlineStr">
        <is>
          <t>Re-checked via palegis.us (bill page returned a server error on two attempts; corroborated via a bill-tracking aggregator citing the official record) and web search. Still 'in committee': House Commerce Committee, last action 07/01/2026. No House floor action found.</t>
        </is>
      </c>
      <c r="H25" s="6" t="inlineStr">
        <is>
          <t>No committee action since referral; still pending.</t>
        </is>
      </c>
      <c r="I25" s="6" t="inlineStr">
        <is>
          <t>Watch only, unchanged.</t>
        </is>
      </c>
      <c r="J25" s="6" t="inlineStr">
        <is>
          <t>https://www.palegis.us/legislation/bills/2025/sb1182</t>
        </is>
      </c>
    </row>
    <row r="26">
      <c r="A26" s="6" t="inlineStr">
        <is>
          <t>2026-09-28</t>
        </is>
      </c>
      <c r="B26" s="6" t="inlineStr">
        <is>
          <t>0 enacted changes, 3 pending bills unchanged, 0 law-data updates</t>
        </is>
      </c>
      <c r="C26" s="6" t="inlineStr">
        <is>
          <t>pending</t>
        </is>
      </c>
      <c r="D26" s="6" t="inlineStr">
        <is>
          <t>NY</t>
        </is>
      </c>
      <c r="E26" s="6" t="inlineStr">
        <is>
          <t>A8773 (Magnarelli) / S8360 (Cooney), 2025-26</t>
        </is>
      </c>
      <c r="F26" s="6" t="inlineStr"/>
      <c r="G26" s="6" t="inlineStr">
        <is>
          <t>Re-checked on nyassembly.gov: A8773's last action is still 06/01/2026 (referred to Senate Rules); no further Senate action found.</t>
        </is>
      </c>
      <c r="H26" s="6" t="inlineStr">
        <is>
          <t>No Senate action since referral; still pending.</t>
        </is>
      </c>
      <c r="I26" s="6" t="inlineStr">
        <is>
          <t>Watch only, unchanged.</t>
        </is>
      </c>
      <c r="J26" s="6" t="inlineStr">
        <is>
          <t>https://nyassembly.gov/leg/?default_fld=&amp;leg_video=&amp;bn=A08773&amp;term=2025&amp;Summary=Y&amp;Actions=Y</t>
        </is>
      </c>
    </row>
    <row r="27">
      <c r="A27" s="6" t="inlineStr">
        <is>
          <t>2026-09-28</t>
        </is>
      </c>
      <c r="B27" s="6" t="inlineStr">
        <is>
          <t>0 enacted changes, 3 pending bills unchanged, 0 law-data updates</t>
        </is>
      </c>
      <c r="C27" s="6" t="inlineStr">
        <is>
          <t>pending</t>
        </is>
      </c>
      <c r="D27" s="6" t="inlineStr">
        <is>
          <t>IL</t>
        </is>
      </c>
      <c r="E27" s="6" t="inlineStr">
        <is>
          <t>SB1939 (104th GA), as amended by Senate Floor Amendments 1-2</t>
        </is>
      </c>
      <c r="F27" s="6" t="inlineStr"/>
      <c r="G27" s="6" t="inlineStr">
        <is>
          <t>Re-checked via web search (ilga.gov bill-status page returned a server error). Still pending in House Rules Committee since 03/20/2026; spring session adjourned 06/01/2026 with no further action.</t>
        </is>
      </c>
      <c r="H27" s="6" t="inlineStr">
        <is>
          <t>No House action since Rules re-assignment; still pending.</t>
        </is>
      </c>
      <c r="I27" s="6" t="inlineStr">
        <is>
          <t>Watch only, unchanged.</t>
        </is>
      </c>
      <c r="J27" s="6" t="inlineStr">
        <is>
          <t>https://www.ilga.gov/Legislation/BillStatus?DocNum=1939&amp;GAID=18&amp;DocTypeID=SB&amp;SessionID=114</t>
        </is>
      </c>
    </row>
    <row r="28">
      <c r="A28" s="6" t="inlineStr">
        <is>
          <t>2026-09-25</t>
        </is>
      </c>
      <c r="B28" s="6" t="inlineStr">
        <is>
          <t>Baseline: 4 enacted changes take effect Oct 1, 2026 (RI, NE, CT, MD); 3 bills still pending (PA, NY, IL)</t>
        </is>
      </c>
      <c r="C28" s="6" t="inlineStr">
        <is>
          <t>enacted_upcoming</t>
        </is>
      </c>
      <c r="D28" s="6" t="inlineStr">
        <is>
          <t>RI</t>
        </is>
      </c>
      <c r="E28" s="6" t="inlineStr">
        <is>
          <t>2026 S 2347 Sub A (P.L. 2026, ch. 180) / H 8213 Sub A (P.L. 2026, ch. 179)</t>
        </is>
      </c>
      <c r="F28" s="6" t="inlineStr">
        <is>
          <t>2026-10-01</t>
        </is>
      </c>
      <c r="G28" s="6" t="inlineStr">
        <is>
          <t>Signed by Governor 06/22/2026 (S 2347 Sub A = Chapter 180; H 8213 Sub A = Chapter 179); takes effect 10/01/2026</t>
        </is>
      </c>
      <c r="H28" s="6" t="inlineStr">
        <is>
          <t>Amends R.I. Gen. Laws § 31-5.1-6 and related sections. Warranty labor is paid at the dealer's non-warranty labor rate multiplied by the ACTUAL time the technician worked.</t>
        </is>
      </c>
      <c r="I28" s="6" t="inlineStr">
        <is>
          <t>Already reflected: date selector switches RI to actual technician time and CPO Required on 10/1/2026.</t>
        </is>
      </c>
      <c r="J28" s="6" t="inlineStr">
        <is>
          <t>https://webserver.rilegislature.gov/PublicLaws/law26/law26180.htm</t>
        </is>
      </c>
    </row>
    <row r="29">
      <c r="A29" s="6" t="inlineStr">
        <is>
          <t>2026-09-25</t>
        </is>
      </c>
      <c r="B29" s="6" t="inlineStr">
        <is>
          <t>Baseline: 4 enacted changes take effect Oct 1, 2026 (RI, NE, CT, MD); 3 bills still pending (PA, NY, IL)</t>
        </is>
      </c>
      <c r="C29" s="6" t="inlineStr">
        <is>
          <t>enacted_upcoming</t>
        </is>
      </c>
      <c r="D29" s="6" t="inlineStr">
        <is>
          <t>NE</t>
        </is>
      </c>
      <c r="E29" s="6" t="inlineStr">
        <is>
          <t>LB972 (2026), Sec. 70</t>
        </is>
      </c>
      <c r="F29" s="6" t="inlineStr">
        <is>
          <t>2026-10-01</t>
        </is>
      </c>
      <c r="G29" s="6" t="inlineStr">
        <is>
          <t>Passed 48-1-0 on 04/10/2026; approved by Governor 04/14/2026. Sec. 84 makes Sec. 70 operative 10/01/2026.</t>
        </is>
      </c>
      <c r="H29" s="6" t="inlineStr">
        <is>
          <t>Sec. 70 adds § 60-1438(7): 'This section does not apply to recreational vehicles.' RVs move to the new Recreational Vehicle Industry Regulation Act. A word diff of Sec.</t>
        </is>
      </c>
      <c r="I29" s="6" t="inlineStr">
        <is>
          <t>Scope only (RVs removed). No change to passenger-vehicle cells.</t>
        </is>
      </c>
      <c r="J29" s="6" t="inlineStr">
        <is>
          <t>https://nebraskalegislature.gov/FloorDocs/109/PDF/Slip/LB972.pdf</t>
        </is>
      </c>
    </row>
    <row r="30">
      <c r="A30" s="6" t="inlineStr">
        <is>
          <t>2026-09-25</t>
        </is>
      </c>
      <c r="B30" s="6" t="inlineStr">
        <is>
          <t>Baseline: 4 enacted changes take effect Oct 1, 2026 (RI, NE, CT, MD); 3 bills still pending (PA, NY, IL)</t>
        </is>
      </c>
      <c r="C30" s="6" t="inlineStr">
        <is>
          <t>enacted_upcoming</t>
        </is>
      </c>
      <c r="D30" s="6" t="inlineStr">
        <is>
          <t>CT</t>
        </is>
      </c>
      <c r="E30" s="6" t="inlineStr">
        <is>
          <t>Public Act 26-24 (sSB 413), §§ 20-25</t>
        </is>
      </c>
      <c r="F30" s="6" t="inlineStr">
        <is>
          <t>2026-10-01</t>
        </is>
      </c>
      <c r="G30" s="6" t="inlineStr">
        <is>
          <t>Signed by Governor 05/27/2026 (per the cga.ct.gov bill status page); §§ 20-25 effective 10/01/2026</t>
        </is>
      </c>
      <c r="H30" s="6" t="inlineStr">
        <is>
          <t>New § 22 covers used vehicles in a dealer's inventory that are under a stop-sale or do-not-drive order for a federal safety or emissions recall.</t>
        </is>
      </c>
      <c r="I30" s="6" t="inlineStr">
        <is>
          <t>Claim rules extend to stop-sale compensation claims. Labor rate and time cells unchanged.</t>
        </is>
      </c>
      <c r="J30" s="6" t="inlineStr">
        <is>
          <t>https://www.cga.ct.gov/2026/ACT/PA/PDF/2026PA-00024-R00SB-00413-PA.PDF</t>
        </is>
      </c>
    </row>
    <row r="31">
      <c r="A31" s="6" t="inlineStr">
        <is>
          <t>2026-09-25</t>
        </is>
      </c>
      <c r="B31" s="6" t="inlineStr">
        <is>
          <t>Baseline: 4 enacted changes take effect Oct 1, 2026 (RI, NE, CT, MD); 3 bills still pending (PA, NY, IL)</t>
        </is>
      </c>
      <c r="C31" s="6" t="inlineStr">
        <is>
          <t>enacted_upcoming</t>
        </is>
      </c>
      <c r="D31" s="6" t="inlineStr">
        <is>
          <t>MD</t>
        </is>
      </c>
      <c r="E31" s="6" t="inlineStr">
        <is>
          <t>2026 SB 345 (Chapter 463; cross-filed HB 1214)</t>
        </is>
      </c>
      <c r="F31" s="6" t="inlineStr">
        <is>
          <t>2026-10-01</t>
        </is>
      </c>
      <c r="G31" s="6" t="inlineStr">
        <is>
          <t>Approved by Governor 05/12/2026 (Chapter 463); effective 10/01/2026</t>
        </is>
      </c>
      <c r="H31" s="6" t="inlineStr">
        <is>
          <t>Procedural, with an indirect effect on warranty. A dealer association or manufacturer association may request an MVA administrative hearing to resolve a dispute or to get an interpretation of the franchise law, which includes the § 15-212 warranty rules.</t>
        </is>
      </c>
      <c r="I31" s="6" t="inlineStr">
        <is>
          <t>Procedural (association hearings). No change to § 15-212 cells.</t>
        </is>
      </c>
      <c r="J31" s="6" t="inlineStr">
        <is>
          <t>https://mgaleg.maryland.gov/mgawebsite/Legislation/Details/sb0345?ys=2026RS</t>
        </is>
      </c>
    </row>
    <row r="32">
      <c r="A32" s="6" t="inlineStr">
        <is>
          <t>2026-09-25</t>
        </is>
      </c>
      <c r="B32" s="6" t="inlineStr">
        <is>
          <t>Baseline: 4 enacted changes take effect Oct 1, 2026 (RI, NE, CT, MD); 3 bills still pending (PA, NY, IL)</t>
        </is>
      </c>
      <c r="C32" s="6" t="inlineStr">
        <is>
          <t>enacted_recent</t>
        </is>
      </c>
      <c r="D32" s="6" t="inlineStr">
        <is>
          <t>KY</t>
        </is>
      </c>
      <c r="E32" s="6" t="inlineStr">
        <is>
          <t>2026 HB 648 (2026 Ky. Acts ch. 83), amending KRS 190.046</t>
        </is>
      </c>
      <c r="F32" s="6" t="inlineStr">
        <is>
          <t>2026-07-15</t>
        </is>
      </c>
      <c r="G32" s="6" t="inlineStr">
        <is>
          <t>Signed by Governor 04/10/2026 (Acts Ch. 83); the official KRS 190.046 page shows 'Effective: July 15, 2026'</t>
        </is>
      </c>
      <c r="H32" s="6" t="inlineStr">
        <is>
          <t>Rewrites KRS 190.046(2)(d) for vehicles in Class 7 and above (49 C.F.R. 565.15, heavy trucks) and makes component manufacturers liable. Parts are paid at acquisition cost plus a 30% gross margin.</t>
        </is>
      </c>
      <c r="I32" s="6" t="inlineStr">
        <is>
          <t>Class 7+ heavy trucks only; noted in KY record. Light-duty cells unchanged.</t>
        </is>
      </c>
      <c r="J32" s="6" t="inlineStr">
        <is>
          <t>https://apps.legislature.ky.gov/record/26rs/hb648.html</t>
        </is>
      </c>
    </row>
    <row r="33">
      <c r="A33" s="6" t="inlineStr">
        <is>
          <t>2026-09-25</t>
        </is>
      </c>
      <c r="B33" s="6" t="inlineStr">
        <is>
          <t>Baseline: 4 enacted changes take effect Oct 1, 2026 (RI, NE, CT, MD); 3 bills still pending (PA, NY, IL)</t>
        </is>
      </c>
      <c r="C33" s="6" t="inlineStr">
        <is>
          <t>pending</t>
        </is>
      </c>
      <c r="D33" s="6" t="inlineStr">
        <is>
          <t>PA</t>
        </is>
      </c>
      <c r="E33" s="6" t="inlineStr">
        <is>
          <t>SB 1182 (2025-26), PN 1866</t>
        </is>
      </c>
      <c r="F33" s="6" t="inlineStr"/>
      <c r="G33" s="6" t="inlineStr">
        <is>
          <t>Passed Senate 50-0 on 06/30/2026; referred to House COMMERCE Committee 07/01/2026; no House action since. The 2025-26 session ends 11/30/2026 and the bill dies if not enacted.</t>
        </is>
      </c>
      <c r="H33" s="6" t="inlineStr">
        <is>
          <t>Would amend Board of Vehicles Act § 307 to expressly cover extended warranty, CPO warranty, manufacturer-sponsored maintenance programs, parts-exchange programs and 'a service contract issued by a manufacturer or distributor or its common entity'.</t>
        </is>
      </c>
      <c r="I33" s="6" t="inlineStr">
        <is>
          <t>Watch only. If enacted, PA service-contract and CPO cells would change.</t>
        </is>
      </c>
      <c r="J33" s="6" t="inlineStr">
        <is>
          <t>https://www.palegis.us/legislation/bills/2025/sb1182</t>
        </is>
      </c>
    </row>
    <row r="34">
      <c r="A34" s="6" t="inlineStr">
        <is>
          <t>2026-09-25</t>
        </is>
      </c>
      <c r="B34" s="6" t="inlineStr">
        <is>
          <t>Baseline: 4 enacted changes take effect Oct 1, 2026 (RI, NE, CT, MD); 3 bills still pending (PA, NY, IL)</t>
        </is>
      </c>
      <c r="C34" s="6" t="inlineStr">
        <is>
          <t>pending</t>
        </is>
      </c>
      <c r="D34" s="6" t="inlineStr">
        <is>
          <t>NY</t>
        </is>
      </c>
      <c r="E34" s="6" t="inlineStr">
        <is>
          <t>A8773 (Magnarelli) / S8360 (Cooney), 2025-26</t>
        </is>
      </c>
      <c r="F34" s="6" t="inlineStr"/>
      <c r="G34" s="6" t="inlineStr">
        <is>
          <t>A8773 passed the Assembly 06/01/2026, went to the Senate and was referred to Senate RULES the same day. S8360 has been in Senate TRANSPORTATION since 01/07/2026. The Senate has not acted; the bills die 12/31/2026.</t>
        </is>
      </c>
      <c r="H34" s="6" t="inlineStr">
        <is>
          <t>Would amend VTL § 465 to cover affiliates and subsidiaries and to list 'extended service contract repairs', 'component part warranties' and 'any other franchisor compensated repairs'.</t>
        </is>
      </c>
      <c r="I34" s="6" t="inlineStr">
        <is>
          <t>Watch only. If enacted, NY paid-hours rules would add 1.5× and actual-time fallbacks.</t>
        </is>
      </c>
      <c r="J34" s="6" t="inlineStr">
        <is>
          <t>https://nyassembly.gov/leg/?default_fld=&amp;leg_video=&amp;bn=A08773&amp;term=2025&amp;Summary=Y&amp;Actions=Y</t>
        </is>
      </c>
    </row>
    <row r="35">
      <c r="A35" s="6" t="inlineStr">
        <is>
          <t>2026-09-25</t>
        </is>
      </c>
      <c r="B35" s="6" t="inlineStr">
        <is>
          <t>Baseline: 4 enacted changes take effect Oct 1, 2026 (RI, NE, CT, MD); 3 bills still pending (PA, NY, IL)</t>
        </is>
      </c>
      <c r="C35" s="6" t="inlineStr">
        <is>
          <t>pending</t>
        </is>
      </c>
      <c r="D35" s="6" t="inlineStr">
        <is>
          <t>IL</t>
        </is>
      </c>
      <c r="E35" s="6" t="inlineStr">
        <is>
          <t>SB1939 (104th GA), as amended by Senate Floor Amendments 1-2</t>
        </is>
      </c>
      <c r="F35" s="6" t="inlineStr"/>
      <c r="G35" s="6" t="inlineStr">
        <is>
          <t>Passed Senate 55-0 on 04/10/2025. In the House it was re-assigned to the Rules Committee on 03/20/2026. It could move in the fall veto session (House session days Nov 17-19 and Dec 1-3, 2026) or the lame-duck session before the 104th GA ends in January 2027.</t>
        </is>
      </c>
      <c r="H35" s="6" t="inlineStr">
        <is>
          <t>Mainly a direct-sales ban: an OEM not licensed to sell direct before 1/1/2022 may not own or operate a dealership or sell direct. It also amends 815 ILCS 710/6.</t>
        </is>
      </c>
      <c r="I35" s="6" t="inlineStr">
        <is>
          <t>Watch only. Mostly a direct-sales bill; parts-markup maintenance definition would change.</t>
        </is>
      </c>
      <c r="J35" s="6" t="inlineStr">
        <is>
          <t>https://www.ilga.gov/Legislation/BillStatus?DocNum=1939&amp;GAID=18&amp;DocTypeID=SB&amp;SessionID=114</t>
        </is>
      </c>
    </row>
    <row r="36">
      <c r="A36" s="6" t="inlineStr">
        <is>
          <t>2026-09-25</t>
        </is>
      </c>
      <c r="B36" s="6" t="inlineStr">
        <is>
          <t>Baseline: 4 enacted changes take effect Oct 1, 2026 (RI, NE, CT, MD); 3 bills still pending (PA, NY, IL)</t>
        </is>
      </c>
      <c r="C36" s="6" t="inlineStr">
        <is>
          <t>dead_or_stalled</t>
        </is>
      </c>
      <c r="D36" s="6" t="inlineStr">
        <is>
          <t>MA</t>
        </is>
      </c>
      <c r="E36" s="6" t="inlineStr">
        <is>
          <t>H4019 (194th General Court), 'An Act to ensure fair compensation for warranty service labor'</t>
        </is>
      </c>
      <c r="F36" s="6" t="inlineStr"/>
      <c r="G36" s="6" t="inlineStr">
        <is>
          <t>Accompanied a study order (see H5320) on 04/02/2026, which means it is effectively dead. Formal sessions ended 07/31/2026.</t>
        </is>
      </c>
      <c r="H36" s="6" t="inlineStr">
        <is>
          <t>Would have let dealers base warranty labor time on aftermarket or retail time guides. Hearing held 02/04/2026 before the Joint Committee on Consumer Protection and Professional Licensure.</t>
        </is>
      </c>
      <c r="I36" s="6" t="inlineStr">
        <is>
          <t>Effectively dead (study order). No action.</t>
        </is>
      </c>
      <c r="J36" s="6" t="inlineStr">
        <is>
          <t>https://malegislature.gov/Bills/194/H4019/BillHistory</t>
        </is>
      </c>
    </row>
  </sheetData>
  <autoFilter ref="A1:J3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2" customWidth="1" min="3" max="3"/>
    <col width="50" customWidth="1" min="4" max="4"/>
    <col width="30" customWidth="1" min="5" max="5"/>
    <col width="16" customWidth="1" min="6" max="6"/>
    <col width="16" customWidth="1" min="7" max="7"/>
    <col width="10" customWidth="1" min="8" max="8"/>
    <col width="60" customWidth="1" min="9" max="9"/>
    <col width="40" customWidth="1" min="10" max="10"/>
  </cols>
  <sheetData>
    <row r="1" ht="32" customHeight="1">
      <c r="A1" s="4" t="inlineStr">
        <is>
          <t>Week of</t>
        </is>
      </c>
      <c r="B1" s="4" t="inlineStr">
        <is>
          <t>Type</t>
        </is>
      </c>
      <c r="C1" s="4" t="inlineStr">
        <is>
          <t>Date</t>
        </is>
      </c>
      <c r="D1" s="4" t="inlineStr">
        <is>
          <t>Title</t>
        </is>
      </c>
      <c r="E1" s="4" t="inlineStr">
        <is>
          <t>Publisher</t>
        </is>
      </c>
      <c r="F1" s="4" t="inlineStr">
        <is>
          <t>Source type</t>
        </is>
      </c>
      <c r="G1" s="4" t="inlineStr">
        <is>
          <t>Perspective</t>
        </is>
      </c>
      <c r="H1" s="4" t="inlineStr">
        <is>
          <t>States</t>
        </is>
      </c>
      <c r="I1" s="4" t="inlineStr">
        <is>
          <t>Why it matters</t>
        </is>
      </c>
      <c r="J1" s="4" t="inlineStr">
        <is>
          <t>URL</t>
        </is>
      </c>
    </row>
    <row r="2">
      <c r="A2" s="6" t="inlineStr">
        <is>
          <t>2026-09-28</t>
        </is>
      </c>
      <c r="B2" s="6" t="inlineStr">
        <is>
          <t>Industry commentary</t>
        </is>
      </c>
      <c r="C2" s="6" t="inlineStr">
        <is>
          <t>2026-09-08</t>
        </is>
      </c>
      <c r="D2" s="6" t="inlineStr">
        <is>
          <t>Mid-Year U.S. Auto Warranty Expenses</t>
        </is>
      </c>
      <c r="E2" s="6" t="inlineStr">
        <is>
          <t>Warranty Week</t>
        </is>
      </c>
      <c r="F2" s="6" t="inlineStr">
        <is>
          <t>independent industry newsletter</t>
        </is>
      </c>
      <c r="G2" s="6" t="inlineStr">
        <is>
          <t>neutral</t>
        </is>
      </c>
      <c r="H2" s="6" t="inlineStr"/>
      <c r="I2" s="6" t="inlineStr">
        <is>
          <t>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is>
      </c>
      <c r="J2" s="6" t="inlineStr">
        <is>
          <t>https://www.warrantyweek.com/archive/ww20260908.html</t>
        </is>
      </c>
    </row>
    <row r="3">
      <c r="A3" s="6" t="inlineStr">
        <is>
          <t>2026-09-28</t>
        </is>
      </c>
      <c r="B3" s="6" t="inlineStr">
        <is>
          <t>Industry commentary</t>
        </is>
      </c>
      <c r="C3" s="6" t="inlineStr">
        <is>
          <t>2026-09-21</t>
        </is>
      </c>
      <c r="D3" s="6" t="inlineStr">
        <is>
          <t>Why Every Dealership Acquisition Should Begin with a Retail Warranty Reimbursement Review</t>
        </is>
      </c>
      <c r="E3" s="6" t="inlineStr">
        <is>
          <t>California New Car Dealer Quarterly (CNCDA); author: Jordan Jankowski, COO, Armatus Dealer Uplift</t>
        </is>
      </c>
      <c r="F3" s="6" t="inlineStr">
        <is>
          <t>dealer association magazine (vendor author)</t>
        </is>
      </c>
      <c r="G3" s="6" t="inlineStr">
        <is>
          <t>dealer-side</t>
        </is>
      </c>
      <c r="H3" s="6" t="inlineStr">
        <is>
          <t>CA</t>
        </is>
      </c>
      <c r="I3" s="6" t="inlineStr">
        <is>
          <t>Signals where dealer-side vendors are steering buyers: expect retail-rate submissions soon after buy-sells. Rate submissions tied to ownership changes may deserve a closer look against the state's RO-sample rules.</t>
        </is>
      </c>
      <c r="J3" s="6" t="inlineStr">
        <is>
          <t>https://california-new-car-dealer.thenewslinkgroup.org/why-every-dealership-acquisition-should-begin-with-a-retail-warranty-reimbursement-review/</t>
        </is>
      </c>
    </row>
    <row r="4">
      <c r="A4" s="6" t="inlineStr">
        <is>
          <t>2026-09-21</t>
        </is>
      </c>
      <c r="B4" s="6" t="inlineStr">
        <is>
          <t>Law or ruling</t>
        </is>
      </c>
      <c r="C4" s="6" t="inlineStr">
        <is>
          <t>2026-09-18</t>
        </is>
      </c>
      <c r="D4" s="6" t="inlineStr">
        <is>
          <t>Public Act Summary: PA 26-24 (sSB 413), An Act Revising Various Motor Vehicle Statutes ... Concerning ... Automobile Dealers and Manufacturers</t>
        </is>
      </c>
      <c r="E4" s="6" t="inlineStr">
        <is>
          <t>Connecticut General Assembly, Office of Legislative Research</t>
        </is>
      </c>
      <c r="F4" s="6" t="inlineStr">
        <is>
          <t>government</t>
        </is>
      </c>
      <c r="G4" s="6" t="inlineStr">
        <is>
          <t>neutral</t>
        </is>
      </c>
      <c r="H4" s="6" t="inlineStr">
        <is>
          <t>CT</t>
        </is>
      </c>
      <c r="I4" s="6" t="inlineStr">
        <is>
          <t>From 10/1/2026 manufacturers'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is>
      </c>
      <c r="J4" s="6" t="inlineStr">
        <is>
          <t>https://www.cga.ct.gov/2026/SUM/PDF/2026SUM00024-R02SB-00413-SUM.PDF</t>
        </is>
      </c>
    </row>
    <row r="5">
      <c r="A5" s="6" t="inlineStr">
        <is>
          <t>2026-09-21</t>
        </is>
      </c>
      <c r="B5" s="6" t="inlineStr">
        <is>
          <t>Law or ruling</t>
        </is>
      </c>
      <c r="C5" s="6" t="inlineStr">
        <is>
          <t>2026-08-26</t>
        </is>
      </c>
      <c r="D5" s="6" t="inlineStr">
        <is>
          <t>Illinois Board Rules in Favor of Volkswagen and Audi Dealers</t>
        </is>
      </c>
      <c r="E5" s="6" t="inlineStr">
        <is>
          <t>The Times Weekly (republishing the Illinois Automobile Dealers Association statement)</t>
        </is>
      </c>
      <c r="F5" s="6" t="inlineStr">
        <is>
          <t>dealer association</t>
        </is>
      </c>
      <c r="G5" s="6" t="inlineStr">
        <is>
          <t>dealer-side</t>
        </is>
      </c>
      <c r="H5" s="6" t="inlineStr">
        <is>
          <t>IL</t>
        </is>
      </c>
      <c r="I5" s="6" t="inlineStr">
        <is>
          <t>This is the first board ruling that recovering statutory warranty uplift through per-vehicle or parts-account debits is an illegal surcharge. Manufacturers should confirm that nothing in their Illinois pricing or charge structure is tied to warranty reimbursement, and should watch for the same argument under other anti-cost-recovery statutes, such as RI § 31-5.1-6(g).</t>
        </is>
      </c>
      <c r="J5" s="6" t="inlineStr">
        <is>
          <t>https://thetimesweekly.com/2026/08/illinois-board-rules-in-favor-of-volkswagen-and-audi-dealers/</t>
        </is>
      </c>
    </row>
    <row r="6">
      <c r="A6" s="6" t="inlineStr">
        <is>
          <t>2026-09-21</t>
        </is>
      </c>
      <c r="B6" s="6" t="inlineStr">
        <is>
          <t>Law or ruling</t>
        </is>
      </c>
      <c r="C6" s="6" t="inlineStr">
        <is>
          <t>2026-07-21</t>
        </is>
      </c>
      <c r="D6" s="6" t="inlineStr">
        <is>
          <t>Big Issues in a Little State: Rhode Island Takes on Warranty Reimbursement and Con Law</t>
        </is>
      </c>
      <c r="E6" s="6" t="inlineStr">
        <is>
          <t>Nelson Mullins Riley &amp; Scarborough LLP (Driving Forward blog)</t>
        </is>
      </c>
      <c r="F6" s="6" t="inlineStr">
        <is>
          <t>law firm alert</t>
        </is>
      </c>
      <c r="G6" s="6" t="inlineStr">
        <is>
          <t>manufacturer-side</t>
        </is>
      </c>
      <c r="H6" s="6" t="inlineStr">
        <is>
          <t>RI</t>
        </is>
      </c>
      <c r="I6" s="6" t="inlineStr">
        <is>
          <t>It explains the first statute that pays warranty labor on actual technician time for all line-makes. From 10/1/2026 manufacturers must adjust Rhode Island claim intake and audit to take time-punch evidence and carry the burden of proof on time disallowances.</t>
        </is>
      </c>
      <c r="J6" s="6" t="inlineStr">
        <is>
          <t>https://www.nelsonmullins.com/insights/blogs/driving-forward-developments-in-transportation-law-and-innovation/all/big-issues-in-a-little-state-rhode-island-takes-on-warranty-reimbursement-and-con-law</t>
        </is>
      </c>
    </row>
  </sheetData>
  <autoFilter ref="A1:J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X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1" customWidth="1" min="3" max="3"/>
    <col width="9" customWidth="1" min="4" max="4"/>
    <col width="12" customWidth="1" min="5" max="5"/>
    <col width="40" customWidth="1" min="6" max="6"/>
    <col width="26" customWidth="1" min="7" max="7"/>
    <col width="12" customWidth="1" min="8" max="8"/>
    <col width="10" customWidth="1" min="9" max="9"/>
    <col width="40" customWidth="1" min="10" max="10"/>
    <col width="10" customWidth="1" min="11" max="11"/>
    <col width="12" customWidth="1" min="12" max="12"/>
    <col width="40" customWidth="1" min="13" max="13"/>
    <col width="12" customWidth="1" min="14" max="14"/>
    <col width="12" customWidth="1" min="15" max="15"/>
    <col width="12" customWidth="1" min="16" max="16"/>
    <col width="11" customWidth="1" min="17" max="17"/>
    <col width="12" customWidth="1" min="18" max="18"/>
    <col width="50" customWidth="1" min="19" max="19"/>
    <col width="14" customWidth="1" min="20" max="20"/>
    <col width="40" customWidth="1" min="21" max="21"/>
    <col width="10" customWidth="1" min="22" max="22"/>
    <col width="40" customWidth="1" min="23" max="23"/>
    <col width="50" customWidth="1" min="24" max="24"/>
  </cols>
  <sheetData>
    <row r="1" ht="32" customHeight="1">
      <c r="A1" s="4" t="inlineStr">
        <is>
          <t>State</t>
        </is>
      </c>
      <c r="B1" s="4" t="inlineStr">
        <is>
          <t>Name</t>
        </is>
      </c>
      <c r="C1" s="4" t="inlineStr">
        <is>
          <t>Advance notice</t>
        </is>
      </c>
      <c r="D1" s="4" t="inlineStr">
        <is>
          <t>Notice (days)</t>
        </is>
      </c>
      <c r="E1" s="4" t="inlineStr">
        <is>
          <t>Selection basis disclosed</t>
        </is>
      </c>
      <c r="F1" s="4" t="inlineStr">
        <is>
          <t>Selection detail</t>
        </is>
      </c>
      <c r="G1" s="4" t="inlineStr">
        <is>
          <t>Audit frequency limit</t>
        </is>
      </c>
      <c r="H1" s="4" t="inlineStr">
        <is>
          <t>Written reasons before chargeback</t>
        </is>
      </c>
      <c r="I1" s="4" t="inlineStr">
        <is>
          <t>Response period (days)</t>
        </is>
      </c>
      <c r="J1" s="4" t="inlineStr">
        <is>
          <t>Response detail</t>
        </is>
      </c>
      <c r="K1" s="4" t="inlineStr">
        <is>
          <t>Internal appeal</t>
        </is>
      </c>
      <c r="L1" s="4" t="inlineStr">
        <is>
          <t>Chargeback held pending appeal</t>
        </is>
      </c>
      <c r="M1" s="4" t="inlineStr">
        <is>
          <t>Hold detail</t>
        </is>
      </c>
      <c r="N1" s="4" t="inlineStr">
        <is>
          <t>Extrapolation</t>
        </is>
      </c>
      <c r="O1" s="4" t="inlineStr">
        <is>
          <t>Clerical-error protection</t>
        </is>
      </c>
      <c r="P1" s="4" t="inlineStr">
        <is>
          <t>Documentation limits</t>
        </is>
      </c>
      <c r="Q1" s="4" t="inlineStr">
        <is>
          <t>Fraud carve-out</t>
        </is>
      </c>
      <c r="R1" s="4" t="inlineStr">
        <is>
          <t>Rate validation procedure</t>
        </is>
      </c>
      <c r="S1" s="4" t="inlineStr">
        <is>
          <t>Rate validation limits</t>
        </is>
      </c>
      <c r="T1" s="4" t="inlineStr">
        <is>
          <t>Rate validation scope</t>
        </is>
      </c>
      <c r="U1" s="4" t="inlineStr">
        <is>
          <t>Consequences for improper audits</t>
        </is>
      </c>
      <c r="V1" s="4" t="inlineStr">
        <is>
          <t>Confidence</t>
        </is>
      </c>
      <c r="W1" s="4" t="inlineStr">
        <is>
          <t>Sources</t>
        </is>
      </c>
      <c r="X1" s="4" t="inlineStr">
        <is>
          <t>Notes</t>
        </is>
      </c>
    </row>
    <row r="2">
      <c r="A2" s="6" t="inlineStr">
        <is>
          <t>AK</t>
        </is>
      </c>
      <c r="B2" s="6" t="inlineStr">
        <is>
          <t>Alaska</t>
        </is>
      </c>
      <c r="C2" s="6" t="inlineStr">
        <is>
          <t>Not in statute</t>
        </is>
      </c>
      <c r="D2" s="6" t="inlineStr"/>
      <c r="E2" s="6" t="inlineStr">
        <is>
          <t>Not in statute</t>
        </is>
      </c>
      <c r="F2" s="6" t="inlineStr">
        <is>
          <t>The statute is silent.</t>
        </is>
      </c>
      <c r="G2" s="6" t="inlineStr">
        <is>
          <t>No more than one warranty audit of paid claims per calendar year. Incentive audits are separately limited to one per calendar year.</t>
        </is>
      </c>
      <c r="H2" s="6" t="inlineStr">
        <is>
          <t>Not in statute</t>
        </is>
      </c>
      <c r="I2" s="6" t="inlineStr"/>
      <c r="J2" s="6" t="inlineStr">
        <is>
          <t>No response period before a chargeback. A disapproved claim may be corrected and resubmitted within 30 days, but only as part of initial claim review.</t>
        </is>
      </c>
      <c r="K2" s="6" t="inlineStr">
        <is>
          <t>Not in statute</t>
        </is>
      </c>
      <c r="L2" s="6" t="inlineStr">
        <is>
          <t>Not in statute</t>
        </is>
      </c>
      <c r="M2" s="6" t="inlineStr">
        <is>
          <t>The statute is silent.</t>
        </is>
      </c>
      <c r="N2" s="6" t="inlineStr">
        <is>
          <t>silent</t>
        </is>
      </c>
      <c r="O2" s="6" t="inlineStr">
        <is>
          <t>Not in statute</t>
        </is>
      </c>
      <c r="P2" s="6" t="inlineStr">
        <is>
          <t>Not in statute</t>
        </is>
      </c>
      <c r="Q2" s="6" t="inlineStr">
        <is>
          <t>Yes</t>
        </is>
      </c>
      <c r="R2" s="6" t="inlineStr">
        <is>
          <t>Yes</t>
        </is>
      </c>
      <c r="S2" s="6" t="inlineStr">
        <is>
          <t>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is>
      </c>
      <c r="T2" s="6" t="inlineStr">
        <is>
          <t>Broader</t>
        </is>
      </c>
      <c r="U2" s="6" t="inlineStr"/>
      <c r="V2" s="6" t="inlineStr">
        <is>
          <t>high</t>
        </is>
      </c>
      <c r="W2" s="6" t="inlineStr">
        <is>
          <t>https://www.akleg.gov/basis/statutes.asp?media=print&amp;secStart=45.25.200&amp;secEnd=45.25.320</t>
        </is>
      </c>
      <c r="X2" s="6" t="inlineStr">
        <is>
          <t>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is>
      </c>
    </row>
    <row r="3">
      <c r="A3" s="6" t="inlineStr">
        <is>
          <t>AL</t>
        </is>
      </c>
      <c r="B3" s="6" t="inlineStr">
        <is>
          <t>Alabama</t>
        </is>
      </c>
      <c r="C3" s="6" t="inlineStr">
        <is>
          <t>Not in statute</t>
        </is>
      </c>
      <c r="D3" s="6" t="inlineStr"/>
      <c r="E3" s="6" t="inlineStr">
        <is>
          <t>Not in statute</t>
        </is>
      </c>
      <c r="F3" s="6" t="inlineStr">
        <is>
          <t>The statute is silent.</t>
        </is>
      </c>
      <c r="G3" s="6" t="inlineStr"/>
      <c r="H3" s="6" t="inlineStr">
        <is>
          <t>Not in statute</t>
        </is>
      </c>
      <c r="I3" s="6" t="inlineStr"/>
      <c r="J3" s="6" t="inlineStr">
        <is>
          <t>No response or rebuttal period before a chargeback. (A dealer may file an amended claim within 120 days after neglect, oversight or mistake, but that is a claim-filing rule.)</t>
        </is>
      </c>
      <c r="K3" s="6" t="inlineStr">
        <is>
          <t>Not in statute</t>
        </is>
      </c>
      <c r="L3" s="6" t="inlineStr">
        <is>
          <t>Not in statute</t>
        </is>
      </c>
      <c r="M3" s="6" t="inlineStr">
        <is>
          <t>The statute is silent.</t>
        </is>
      </c>
      <c r="N3" s="6" t="inlineStr">
        <is>
          <t>silent</t>
        </is>
      </c>
      <c r="O3" s="6" t="inlineStr">
        <is>
          <t>Yes</t>
        </is>
      </c>
      <c r="P3" s="6" t="inlineStr">
        <is>
          <t>Yes</t>
        </is>
      </c>
      <c r="Q3" s="6" t="inlineStr">
        <is>
          <t>No</t>
        </is>
      </c>
      <c r="R3" s="6" t="inlineStr">
        <is>
          <t>Yes</t>
        </is>
      </c>
      <c r="S3" s="6" t="inlineStr">
        <is>
          <t>Within 45 days the warrantor may rebut once by reasonably substantiating that the submission is materially incomplete, inaccurate or unreasonable, with a full explanation, evidence for each reason, all calculations and a proposed adjusted rate. It may not later add to or change the rebuttal unless it did not have the information at the time, or it uses the information to answer the dealer's response to the rebuttal. If the calculated rate is substantially higher or lower than the rate on record, it may request additional ROs for 60 days before or after the submitted period, then has 45 days from receipt to rebut. Submissions are limited to once per 12 months.</t>
        </is>
      </c>
      <c r="T3" s="6" t="inlineStr">
        <is>
          <t>Broader</t>
        </is>
      </c>
      <c r="U3" s="6" t="inlineStr"/>
      <c r="V3" s="6" t="inlineStr">
        <is>
          <t>high</t>
        </is>
      </c>
      <c r="W3" s="6" t="inlineStr">
        <is>
          <t>https://alison.legislature.state.al.us/code-of-alabama?section=8-20-7; https://alison.legislature.state.al.us/code-of-alabama?section=8-20-4; https://alison.legislature.state.al.us/code-of-alabama?section=8-20-7.1</t>
        </is>
      </c>
      <c r="X3" s="6" t="inlineStr">
        <is>
          <t>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is>
      </c>
    </row>
    <row r="4">
      <c r="A4" s="6" t="inlineStr">
        <is>
          <t>AR</t>
        </is>
      </c>
      <c r="B4" s="6" t="inlineStr">
        <is>
          <t>Arkansas</t>
        </is>
      </c>
      <c r="C4" s="6" t="inlineStr">
        <is>
          <t>Not in statute</t>
        </is>
      </c>
      <c r="D4" s="6" t="inlineStr"/>
      <c r="E4" s="6" t="inlineStr">
        <is>
          <t>Not in statute</t>
        </is>
      </c>
      <c r="F4" s="6" t="inlineStr">
        <is>
          <t>The statute is silent.</t>
        </is>
      </c>
      <c r="G4" s="6" t="inlineStr"/>
      <c r="H4" s="6" t="inlineStr">
        <is>
          <t>Not in statute</t>
        </is>
      </c>
      <c r="I4" s="6" t="inlineStr"/>
      <c r="J4" s="6" t="inlineStr">
        <is>
          <t>No rebuttal period before a chargeback. The dealer has 90 days from notification to appeal a chargeback to the Arkansas Motor Vehicle Commission (see chargeback_stayed_pending_appeal).</t>
        </is>
      </c>
      <c r="K4" s="6" t="inlineStr">
        <is>
          <t>Not in statute</t>
        </is>
      </c>
      <c r="L4" s="6" t="inlineStr">
        <is>
          <t>Yes</t>
        </is>
      </c>
      <c r="M4" s="6" t="inlineStr">
        <is>
          <t>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is>
      </c>
      <c r="N4" s="6" t="inlineStr">
        <is>
          <t>silent</t>
        </is>
      </c>
      <c r="O4" s="6" t="inlineStr">
        <is>
          <t>Yes</t>
        </is>
      </c>
      <c r="P4" s="6" t="inlineStr">
        <is>
          <t>Not in statute</t>
        </is>
      </c>
      <c r="Q4" s="6" t="inlineStr">
        <is>
          <t>Yes</t>
        </is>
      </c>
      <c r="R4" s="6" t="inlineStr">
        <is>
          <t>Yes</t>
        </is>
      </c>
      <c r="S4" s="6" t="inlineStr">
        <is>
          <t>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 23-112-313(c)(3)); § 23-112-310(d)(1)(A) measures reasonableness against other same line-make dealers in the dealer's relevant market area or competitive market area. There is no frequency limit.</t>
        </is>
      </c>
      <c r="T4" s="6" t="inlineStr">
        <is>
          <t>Broader</t>
        </is>
      </c>
      <c r="U4" s="6" t="inlineStr">
        <is>
          <t>Chargeback appeal to the Arkansas Motor Vehicle Commission, with an automatic bar on levying the chargeback while the appeal is pending. There is no audit-specific monetary penalty.</t>
        </is>
      </c>
      <c r="V4" s="6" t="inlineStr">
        <is>
          <t>medium</t>
        </is>
      </c>
      <c r="W4" s="6" t="inlineStr">
        <is>
          <t>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is>
      </c>
      <c r="X4" s="6" t="inlineStr">
        <is>
          <t>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is>
      </c>
    </row>
    <row r="5">
      <c r="A5" s="6" t="inlineStr">
        <is>
          <t>AZ</t>
        </is>
      </c>
      <c r="B5" s="6" t="inlineStr">
        <is>
          <t>Arizona</t>
        </is>
      </c>
      <c r="C5" s="6" t="inlineStr">
        <is>
          <t>Not in statute</t>
        </is>
      </c>
      <c r="D5" s="6" t="inlineStr"/>
      <c r="E5" s="6" t="inlineStr">
        <is>
          <t>Not in statute</t>
        </is>
      </c>
      <c r="F5" s="6" t="inlineStr">
        <is>
          <t>The statute is silent.</t>
        </is>
      </c>
      <c r="G5" s="6" t="inlineStr"/>
      <c r="H5" s="6" t="inlineStr">
        <is>
          <t>Not in statute</t>
        </is>
      </c>
      <c r="I5" s="6" t="inlineStr"/>
      <c r="J5" s="6" t="inlineStr">
        <is>
          <t>No fixed number of days.</t>
        </is>
      </c>
      <c r="K5" s="6" t="inlineStr">
        <is>
          <t>Not in statute</t>
        </is>
      </c>
      <c r="L5" s="6" t="inlineStr">
        <is>
          <t>Yes</t>
        </is>
      </c>
      <c r="M5" s="6" t="inlineStr">
        <is>
          <t>No chargeback until the dealer has had notice and a chance to use any available mediation. If mediation fails, no chargeback until all legal appeals are exhausted. The same applies to incentive audits (H).</t>
        </is>
      </c>
      <c r="N5" s="6" t="inlineStr">
        <is>
          <t>silent</t>
        </is>
      </c>
      <c r="O5" s="6" t="inlineStr">
        <is>
          <t>Yes</t>
        </is>
      </c>
      <c r="P5" s="6" t="inlineStr">
        <is>
          <t>Not in statute</t>
        </is>
      </c>
      <c r="Q5" s="6" t="inlineStr">
        <is>
          <t>Yes</t>
        </is>
      </c>
      <c r="R5" s="6" t="inlineStr">
        <is>
          <t>Yes</t>
        </is>
      </c>
      <c r="S5" s="6" t="inlineStr">
        <is>
          <t>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is>
      </c>
      <c r="T5" s="6" t="inlineStr">
        <is>
          <t>Broader</t>
        </is>
      </c>
      <c r="U5" s="6" t="inlineStr"/>
      <c r="V5" s="6" t="inlineStr">
        <is>
          <t>high</t>
        </is>
      </c>
      <c r="W5" s="6" t="inlineStr">
        <is>
          <t>https://www.azleg.gov/ars/28/04451.htm</t>
        </is>
      </c>
      <c r="X5" s="6" t="inlineStr">
        <is>
          <t>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is>
      </c>
    </row>
    <row r="6">
      <c r="A6" s="6" t="inlineStr">
        <is>
          <t>CA</t>
        </is>
      </c>
      <c r="B6" s="6" t="inlineStr">
        <is>
          <t>California</t>
        </is>
      </c>
      <c r="C6" s="6" t="inlineStr">
        <is>
          <t>Not in statute</t>
        </is>
      </c>
      <c r="D6" s="6" t="inlineStr"/>
      <c r="E6" s="6" t="inlineStr">
        <is>
          <t>Yes</t>
        </is>
      </c>
      <c r="F6" s="6" t="inlineStr">
        <is>
          <t>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is>
      </c>
      <c r="G6" s="6" t="inlineStr">
        <is>
          <t>No more than one random audit per 9-month period. Additional audits in that period require written disclosure of their basis. Audits must be on a reasonable basis, within 9 months after payment or credit.</t>
        </is>
      </c>
      <c r="H6" s="6" t="inlineStr">
        <is>
          <t>Yes</t>
        </is>
      </c>
      <c r="I6" s="6" t="n">
        <v>30</v>
      </c>
      <c r="J6" s="6" t="inlineStr">
        <is>
          <t>At least 30 days after receiving the written disapproval notice to rebut and cure, scaled to the volume of claims. No chargeback until 45 days after the later written notice (disapproval or Final Denial). The chargeback must be taken within 90 days of that notice.</t>
        </is>
      </c>
      <c r="K6" s="6" t="inlineStr">
        <is>
          <t>Yes</t>
        </is>
      </c>
      <c r="L6" s="6" t="inlineStr">
        <is>
          <t>Yes</t>
        </is>
      </c>
      <c r="M6" s="6" t="inlineStr">
        <is>
          <t>If a New Motor Vehicle Board protest (due within 6 months) is filed before the chargeback, the franchisor may not offset or collect until the Board issues a final order. After the order, it has 90 days to charge back. This is on top of the 45-day hold after the written notice.</t>
        </is>
      </c>
      <c r="N6" s="6" t="inlineStr">
        <is>
          <t>restricted</t>
        </is>
      </c>
      <c r="O6" s="6" t="inlineStr">
        <is>
          <t>Yes</t>
        </is>
      </c>
      <c r="P6" s="6" t="inlineStr">
        <is>
          <t>Yes</t>
        </is>
      </c>
      <c r="Q6" s="6" t="inlineStr">
        <is>
          <t>Yes</t>
        </is>
      </c>
      <c r="R6" s="6" t="inlineStr">
        <is>
          <t>Yes</t>
        </is>
      </c>
      <c r="S6" s="6" t="inlineStr">
        <is>
          <t>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is>
      </c>
      <c r="T6" s="6" t="inlineStr">
        <is>
          <t>Broader</t>
        </is>
      </c>
      <c r="U6" s="6" t="inlineStr">
        <is>
          <t>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is>
      </c>
      <c r="V6" s="6" t="inlineStr">
        <is>
          <t>high</t>
        </is>
      </c>
      <c r="W6" s="6" t="inlineStr">
        <is>
          <t>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is>
      </c>
      <c r="X6" s="6" t="inlineStr">
        <is>
          <t>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is>
      </c>
    </row>
    <row r="7">
      <c r="A7" s="6" t="inlineStr">
        <is>
          <t>CO</t>
        </is>
      </c>
      <c r="B7" s="6" t="inlineStr">
        <is>
          <t>Colorado</t>
        </is>
      </c>
      <c r="C7" s="6" t="inlineStr">
        <is>
          <t>Not in statute</t>
        </is>
      </c>
      <c r="D7" s="6" t="inlineStr"/>
      <c r="E7" s="6" t="inlineStr">
        <is>
          <t>Not in statute</t>
        </is>
      </c>
      <c r="F7" s="6" t="inlineStr">
        <is>
          <t>The statute is silent.</t>
        </is>
      </c>
      <c r="G7" s="6" t="inlineStr"/>
      <c r="H7" s="6" t="inlineStr">
        <is>
          <t>Not in statute</t>
        </is>
      </c>
      <c r="I7" s="6" t="inlineStr"/>
      <c r="J7" s="6" t="inlineStr">
        <is>
          <t>No rebuttal period. The dealer has 30 days to ask the executive director to rule that a chargeback violates the time limits (see chargeback_stayed_pending_appeal).</t>
        </is>
      </c>
      <c r="K7" s="6" t="inlineStr">
        <is>
          <t>Not in statute</t>
        </is>
      </c>
      <c r="L7" s="6" t="inlineStr">
        <is>
          <t>Yes</t>
        </is>
      </c>
      <c r="M7" s="6" t="inlineStr">
        <is>
          <t>The stay applies only to a dealer's timely request (within 30 days) for an executive-director determination that the chargeback violates the § 44-20-135(1) time limits. It is not a general merits appeal.</t>
        </is>
      </c>
      <c r="N7" s="6" t="inlineStr">
        <is>
          <t>silent</t>
        </is>
      </c>
      <c r="O7" s="6" t="inlineStr">
        <is>
          <t>Not in statute</t>
        </is>
      </c>
      <c r="P7" s="6" t="inlineStr">
        <is>
          <t>Yes</t>
        </is>
      </c>
      <c r="Q7" s="6" t="inlineStr">
        <is>
          <t>Yes</t>
        </is>
      </c>
      <c r="R7" s="6" t="inlineStr">
        <is>
          <t>Yes</t>
        </is>
      </c>
      <c r="S7" s="6" t="inlineStr">
        <is>
          <t>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is>
      </c>
      <c r="T7" s="6" t="inlineStr">
        <is>
          <t>Broader</t>
        </is>
      </c>
      <c r="U7" s="6" t="inlineStr">
        <is>
          <t>A chargeback, reimbursement or credit that the executive director finds (after a hearing) violates the § 44-20-135(1) time limits is void.</t>
        </is>
      </c>
      <c r="V7" s="6" t="inlineStr">
        <is>
          <t>high</t>
        </is>
      </c>
      <c r="W7" s="6" t="inlineStr">
        <is>
          <t>https://leg.colorado.gov/sites/default/files/images/olls/crs2024-title-44.pdf; https://colorado.public.law/statutes/crs_44-20-135</t>
        </is>
      </c>
      <c r="X7" s="6" t="inlineStr">
        <is>
          <t>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(manufacturer affiliates) did not become law; it was postponed indefinitely in House Business Affairs &amp; Labor on 4/24/2025. Watch item: part 1 of article 20 is set to repeal September 1, 2027, subject to sunset review (§ 44-20-142).</t>
        </is>
      </c>
    </row>
    <row r="8">
      <c r="A8" s="6" t="inlineStr">
        <is>
          <t>CT</t>
        </is>
      </c>
      <c r="B8" s="6" t="inlineStr">
        <is>
          <t>Connecticut</t>
        </is>
      </c>
      <c r="C8" s="6" t="inlineStr">
        <is>
          <t>Not in statute</t>
        </is>
      </c>
      <c r="D8" s="6" t="inlineStr"/>
      <c r="E8" s="6" t="inlineStr">
        <is>
          <t>Not in statute</t>
        </is>
      </c>
      <c r="F8" s="6" t="inlineStr">
        <is>
          <t>The statute is silent.</t>
        </is>
      </c>
      <c r="G8" s="6" t="inlineStr"/>
      <c r="H8" s="6" t="inlineStr">
        <is>
          <t>Not in statute</t>
        </is>
      </c>
      <c r="I8" s="6" t="n">
        <v>30</v>
      </c>
      <c r="J8" s="6" t="inlineStr">
        <is>
          <t>After a denial or chargeback for a processing, clerical or administrative failure, the dealer may resubmit the claim within 30 days under reasonable manufacturer or distributor guidelines. Fraud excepted.</t>
        </is>
      </c>
      <c r="K8" s="6" t="inlineStr">
        <is>
          <t>Not in statute</t>
        </is>
      </c>
      <c r="L8" s="6" t="inlineStr">
        <is>
          <t>Not in statute</t>
        </is>
      </c>
      <c r="M8" s="6" t="inlineStr">
        <is>
          <t>The statute is silent.</t>
        </is>
      </c>
      <c r="N8" s="6" t="inlineStr">
        <is>
          <t>silent</t>
        </is>
      </c>
      <c r="O8" s="6" t="inlineStr">
        <is>
          <t>Yes</t>
        </is>
      </c>
      <c r="P8" s="6" t="inlineStr">
        <is>
          <t>Not in statute</t>
        </is>
      </c>
      <c r="Q8" s="6" t="inlineStr">
        <is>
          <t>Yes</t>
        </is>
      </c>
      <c r="R8" s="6" t="inlineStr">
        <is>
          <t>Yes</t>
        </is>
      </c>
      <c r="S8" s="6" t="inlineStr">
        <is>
          <t>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is>
      </c>
      <c r="T8" s="6" t="inlineStr">
        <is>
          <t>Broader</t>
        </is>
      </c>
      <c r="U8" s="6" t="inlineStr"/>
      <c r="V8" s="6" t="inlineStr">
        <is>
          <t>high</t>
        </is>
      </c>
      <c r="W8" s="6" t="inlineStr">
        <is>
          <t>https://www.cga.ct.gov/current/pub/chap_739.htm#sec_42-133s; https://www.cga.ct.gov/2026/ACT/PA/PDF/2026PA-00024-R00SB-00413-PA.PDF</t>
        </is>
      </c>
      <c r="X8" s="6" t="inlineStr">
        <is>
          <t>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is>
      </c>
    </row>
    <row r="9">
      <c r="A9" s="6" t="inlineStr">
        <is>
          <t>DE</t>
        </is>
      </c>
      <c r="B9" s="6" t="inlineStr">
        <is>
          <t>Delaware</t>
        </is>
      </c>
      <c r="C9" s="6" t="inlineStr">
        <is>
          <t>Not in statute</t>
        </is>
      </c>
      <c r="D9" s="6" t="inlineStr"/>
      <c r="E9" s="6" t="inlineStr">
        <is>
          <t>Not in statute</t>
        </is>
      </c>
      <c r="F9" s="6" t="inlineStr">
        <is>
          <t>The statute is silent.</t>
        </is>
      </c>
      <c r="G9" s="6" t="inlineStr"/>
      <c r="H9" s="6" t="inlineStr">
        <is>
          <t>Not in statute</t>
        </is>
      </c>
      <c r="I9" s="6" t="inlineStr"/>
      <c r="J9" s="6" t="inlineStr">
        <is>
          <t>The statute is silent.</t>
        </is>
      </c>
      <c r="K9" s="6" t="inlineStr">
        <is>
          <t>Not in statute</t>
        </is>
      </c>
      <c r="L9" s="6" t="inlineStr">
        <is>
          <t>Not in statute</t>
        </is>
      </c>
      <c r="M9" s="6" t="inlineStr">
        <is>
          <t>The statute is silent.</t>
        </is>
      </c>
      <c r="N9" s="6" t="inlineStr">
        <is>
          <t>silent</t>
        </is>
      </c>
      <c r="O9" s="6" t="inlineStr">
        <is>
          <t>Yes</t>
        </is>
      </c>
      <c r="P9" s="6" t="inlineStr">
        <is>
          <t>Yes</t>
        </is>
      </c>
      <c r="Q9" s="6" t="inlineStr">
        <is>
          <t>Yes</t>
        </is>
      </c>
      <c r="R9" s="6" t="inlineStr">
        <is>
          <t>Yes</t>
        </is>
      </c>
      <c r="S9" s="6" t="inlineStr">
        <is>
          <t>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is>
      </c>
      <c r="T9" s="6" t="inlineStr">
        <is>
          <t>Broader</t>
        </is>
      </c>
      <c r="U9" s="6" t="inlineStr"/>
      <c r="V9" s="6" t="inlineStr">
        <is>
          <t>high</t>
        </is>
      </c>
      <c r="W9" s="6" t="inlineStr">
        <is>
          <t>https://delcode.delaware.gov/title6/c049/index.html</t>
        </is>
      </c>
      <c r="X9" s="6" t="inlineStr">
        <is>
          <t>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is>
      </c>
    </row>
    <row r="10">
      <c r="A10" s="6" t="inlineStr">
        <is>
          <t>FL</t>
        </is>
      </c>
      <c r="B10" s="6" t="inlineStr">
        <is>
          <t>Florida</t>
        </is>
      </c>
      <c r="C10" s="6" t="inlineStr">
        <is>
          <t>Not in statute</t>
        </is>
      </c>
      <c r="D10" s="6" t="inlineStr"/>
      <c r="E10" s="6" t="inlineStr">
        <is>
          <t>Yes</t>
        </is>
      </c>
      <c r="F10" s="6" t="inlineStr">
        <is>
          <t>Verified. At the required post-audit meeting (within 30 days after a timely audit, before any chargeback), the licensee must give a WRITTEN statement of the basis on which the dealer was selected for audit or review. This applies to warranty, maintenance, service and incentive audits.</t>
        </is>
      </c>
      <c r="G10" s="6" t="inlineStr">
        <is>
          <t>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is>
      </c>
      <c r="H10" s="6" t="inlineStr">
        <is>
          <t>Yes</t>
        </is>
      </c>
      <c r="I10" s="6" t="n">
        <v>45</v>
      </c>
      <c r="J10" s="6" t="inlineStr">
        <is>
          <t>A reasonable period after the meeting, scaled to claim volume, but never less than 45 days. The dealer gets the same meeting and response rights if the licensee claims new information.</t>
        </is>
      </c>
      <c r="K10" s="6" t="inlineStr">
        <is>
          <t>Not in statute</t>
        </is>
      </c>
      <c r="L10" s="6" t="inlineStr">
        <is>
          <t>Yes</t>
        </is>
      </c>
      <c r="M10" s="6" t="inlineStr">
        <is>
          <t>The dealer may protest to the Department of Highway Safety and Motor Vehicles within 30 days after receiving the written notice of the final proposed chargeback amount. The licensee may not take any action to recover until the department makes a final determination that is not subject to further appeal. The licensee bears the burden of proof.</t>
        </is>
      </c>
      <c r="N10" s="6" t="inlineStr">
        <is>
          <t>silent</t>
        </is>
      </c>
      <c r="O10" s="6" t="inlineStr">
        <is>
          <t>Yes</t>
        </is>
      </c>
      <c r="P10" s="6" t="inlineStr">
        <is>
          <t>Yes</t>
        </is>
      </c>
      <c r="Q10" s="6" t="inlineStr">
        <is>
          <t>No</t>
        </is>
      </c>
      <c r="R10" s="6" t="inlineStr">
        <is>
          <t>Yes</t>
        </is>
      </c>
      <c r="S10" s="6" t="inlineStr">
        <is>
          <t>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is>
      </c>
      <c r="T10" s="6" t="inlineStr">
        <is>
          <t>Limited to submission</t>
        </is>
      </c>
      <c r="U10" s="6" t="inlineStr">
        <is>
          <t>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is>
      </c>
      <c r="V10" s="6" t="inlineStr">
        <is>
          <t>high</t>
        </is>
      </c>
      <c r="W10" s="6" t="inlineStr">
        <is>
          <t>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is>
      </c>
      <c r="X10" s="6" t="inlineStr">
        <is>
          <t>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is>
      </c>
    </row>
    <row r="11">
      <c r="A11" s="6" t="inlineStr">
        <is>
          <t>GA</t>
        </is>
      </c>
      <c r="B11" s="6" t="inlineStr">
        <is>
          <t>Georgia</t>
        </is>
      </c>
      <c r="C11" s="6" t="inlineStr">
        <is>
          <t>Not in statute</t>
        </is>
      </c>
      <c r="D11" s="6" t="inlineStr"/>
      <c r="E11" s="6" t="inlineStr">
        <is>
          <t>Not in statute</t>
        </is>
      </c>
      <c r="F11" s="6" t="inlineStr">
        <is>
          <t>The statute is silent.</t>
        </is>
      </c>
      <c r="G11" s="6" t="inlineStr"/>
      <c r="H11" s="6" t="inlineStr">
        <is>
          <t>Not in statute</t>
        </is>
      </c>
      <c r="I11" s="6" t="n">
        <v>30</v>
      </c>
      <c r="J11" s="6" t="inlineStr">
        <is>
          <t>At least 30 days after the notice to contest the amount or pay. If the dealer contests, the charge is stayed.</t>
        </is>
      </c>
      <c r="K11" s="6" t="inlineStr">
        <is>
          <t>Not in statute</t>
        </is>
      </c>
      <c r="L11" s="6" t="inlineStr">
        <is>
          <t>Yes</t>
        </is>
      </c>
      <c r="M11" s="6" t="inlineStr">
        <is>
          <t>The charge is stayed through internal dispute resolution and any petition to the commissioner. The petition is due by the later of 60 days after the notice or 30 days after internal dispute resolution ends. The franchisor bears the burden by a preponderance.</t>
        </is>
      </c>
      <c r="N11" s="6" t="inlineStr">
        <is>
          <t>silent</t>
        </is>
      </c>
      <c r="O11" s="6" t="inlineStr">
        <is>
          <t>Yes</t>
        </is>
      </c>
      <c r="P11" s="6" t="inlineStr">
        <is>
          <t>Yes</t>
        </is>
      </c>
      <c r="Q11" s="6" t="inlineStr">
        <is>
          <t>Yes</t>
        </is>
      </c>
      <c r="R11" s="6" t="inlineStr">
        <is>
          <t>Yes</t>
        </is>
      </c>
      <c r="S11" s="6" t="inlineStr">
        <is>
          <t>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is>
      </c>
      <c r="T11" s="6" t="inlineStr">
        <is>
          <t>Broader</t>
        </is>
      </c>
      <c r="U11" s="6" t="inlineStr">
        <is>
          <t>Petition to the commissioner and a hearing at which the franchisor must prove the chargeback grounds by a preponderance. The charge is stayed meanwhile. There is no audit-specific monetary penalty.</t>
        </is>
      </c>
      <c r="V11" s="6" t="inlineStr">
        <is>
          <t>high</t>
        </is>
      </c>
      <c r="W11" s="6" t="inlineStr">
        <is>
          <t>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is>
      </c>
      <c r="X11" s="6" t="inlineStr">
        <is>
          <t>§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is>
      </c>
    </row>
    <row r="12">
      <c r="A12" s="6" t="inlineStr">
        <is>
          <t>HI</t>
        </is>
      </c>
      <c r="B12" s="6" t="inlineStr">
        <is>
          <t>Hawaii</t>
        </is>
      </c>
      <c r="C12" s="6" t="inlineStr">
        <is>
          <t>Not in statute</t>
        </is>
      </c>
      <c r="D12" s="6" t="inlineStr"/>
      <c r="E12" s="6" t="inlineStr">
        <is>
          <t>Not in statute</t>
        </is>
      </c>
      <c r="F12" s="6" t="inlineStr">
        <is>
          <t>The statute is silent.</t>
        </is>
      </c>
      <c r="G12" s="6" t="inlineStr"/>
      <c r="H12" s="6" t="inlineStr">
        <is>
          <t>Yes</t>
        </is>
      </c>
      <c r="I12" s="6" t="n">
        <v>30</v>
      </c>
      <c r="J12" s="6" t="inlineStr">
        <is>
          <t>The written notice must come 30 days before imposition, and the dealer may protest before the chargeback is imposed.</t>
        </is>
      </c>
      <c r="K12" s="6" t="inlineStr">
        <is>
          <t>Not in statute</t>
        </is>
      </c>
      <c r="L12" s="6" t="inlineStr">
        <is>
          <t>Yes</t>
        </is>
      </c>
      <c r="M12" s="6" t="inlineStr">
        <is>
          <t>After internal dispute resolution, the dealer may petition the Department of Commerce and Consumer Affairs under § 437-51. The chargeback is then stayed for the entire action, until final judgment.</t>
        </is>
      </c>
      <c r="N12" s="6" t="inlineStr">
        <is>
          <t>silent</t>
        </is>
      </c>
      <c r="O12" s="6" t="inlineStr">
        <is>
          <t>Not in statute</t>
        </is>
      </c>
      <c r="P12" s="6" t="inlineStr">
        <is>
          <t>Yes</t>
        </is>
      </c>
      <c r="Q12" s="6" t="inlineStr">
        <is>
          <t>Yes</t>
        </is>
      </c>
      <c r="R12" s="6" t="inlineStr">
        <is>
          <t>Yes</t>
        </is>
      </c>
      <c r="S12" s="6" t="inlineStr">
        <is>
          <t>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is>
      </c>
      <c r="T12" s="6" t="inlineStr">
        <is>
          <t>Broader</t>
        </is>
      </c>
      <c r="U12" s="6" t="inlineStr">
        <is>
          <t>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is>
      </c>
      <c r="V12" s="6" t="inlineStr">
        <is>
          <t>high</t>
        </is>
      </c>
      <c r="W12" s="6" t="inlineStr">
        <is>
          <t>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is>
      </c>
      <c r="X12" s="6" t="inlineStr">
        <is>
          <t>§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is>
      </c>
    </row>
    <row r="13">
      <c r="A13" s="6" t="inlineStr">
        <is>
          <t>IA</t>
        </is>
      </c>
      <c r="B13" s="6" t="inlineStr">
        <is>
          <t>Iowa</t>
        </is>
      </c>
      <c r="C13" s="6" t="inlineStr">
        <is>
          <t>Not in statute</t>
        </is>
      </c>
      <c r="D13" s="6" t="inlineStr"/>
      <c r="E13" s="6" t="inlineStr">
        <is>
          <t>Not in statute</t>
        </is>
      </c>
      <c r="F13" s="6" t="inlineStr"/>
      <c r="G13" s="6" t="inlineStr"/>
      <c r="H13" s="6" t="inlineStr">
        <is>
          <t>Not in statute</t>
        </is>
      </c>
      <c r="I13" s="6" t="inlineStr"/>
      <c r="J13" s="6" t="inlineStr">
        <is>
          <t>None for chargebacks. A claim rejected for an unintentional clerical-type failure may be resubmitted "in a timely manner" (§ 322A.5(4)(b)); no day count.</t>
        </is>
      </c>
      <c r="K13" s="6" t="inlineStr">
        <is>
          <t>Not in statute</t>
        </is>
      </c>
      <c r="L13" s="6" t="inlineStr">
        <is>
          <t>Not in statute</t>
        </is>
      </c>
      <c r="M13" s="6" t="inlineStr"/>
      <c r="N13" s="6" t="inlineStr">
        <is>
          <t>silent</t>
        </is>
      </c>
      <c r="O13" s="6" t="inlineStr">
        <is>
          <t>Yes</t>
        </is>
      </c>
      <c r="P13" s="6" t="inlineStr">
        <is>
          <t>Yes</t>
        </is>
      </c>
      <c r="Q13" s="6" t="inlineStr">
        <is>
          <t>Yes</t>
        </is>
      </c>
      <c r="R13" s="6" t="inlineStr">
        <is>
          <t>Yes</t>
        </is>
      </c>
      <c r="S13" s="6" t="inlineStr">
        <is>
          <t>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is>
      </c>
      <c r="T13" s="6" t="inlineStr">
        <is>
          <t>Limited to submission</t>
        </is>
      </c>
      <c r="U13" s="6" t="inlineStr">
        <is>
          <t>Rate submissions only: an unreasonable denial is deemed a violation of ch. 322A, and the department then sets the rate. There is no audit- or chargeback-specific penalty.</t>
        </is>
      </c>
      <c r="V13" s="6" t="inlineStr">
        <is>
          <t>high</t>
        </is>
      </c>
      <c r="W13" s="6" t="inlineStr">
        <is>
          <t>https://www.legis.iowa.gov/docs/code/322A.5.pdf; https://www.legis.iowa.gov/docs/code/322.3.pdf</t>
        </is>
      </c>
      <c r="X13" s="6" t="inlineStr">
        <is>
          <t>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is>
      </c>
    </row>
    <row r="14">
      <c r="A14" s="6" t="inlineStr">
        <is>
          <t>ID</t>
        </is>
      </c>
      <c r="B14" s="6" t="inlineStr">
        <is>
          <t>Idaho</t>
        </is>
      </c>
      <c r="C14" s="6" t="inlineStr">
        <is>
          <t>Not in statute</t>
        </is>
      </c>
      <c r="D14" s="6" t="inlineStr"/>
      <c r="E14" s="6" t="inlineStr">
        <is>
          <t>Not in statute</t>
        </is>
      </c>
      <c r="F14" s="6" t="inlineStr">
        <is>
          <t>The statute is silent.</t>
        </is>
      </c>
      <c r="G14" s="6" t="inlineStr"/>
      <c r="H14" s="6" t="inlineStr">
        <is>
          <t>Not in statute</t>
        </is>
      </c>
      <c r="I14" s="6" t="n">
        <v>30</v>
      </c>
      <c r="J14" s="6" t="inlineStr">
        <is>
          <t>After a denial or chargeback for a clerical error or administrative technicality, the dealer has 30 days from notice to resubmit (longer if the manufacturer allows). Incentive claims: 60 days (§ 49-1638(3)).</t>
        </is>
      </c>
      <c r="K14" s="6" t="inlineStr">
        <is>
          <t>Not in statute</t>
        </is>
      </c>
      <c r="L14" s="6" t="inlineStr">
        <is>
          <t>Not in statute</t>
        </is>
      </c>
      <c r="M14" s="6" t="inlineStr">
        <is>
          <t>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is>
      </c>
      <c r="N14" s="6" t="inlineStr">
        <is>
          <t>silent</t>
        </is>
      </c>
      <c r="O14" s="6" t="inlineStr">
        <is>
          <t>Yes</t>
        </is>
      </c>
      <c r="P14" s="6" t="inlineStr">
        <is>
          <t>Yes</t>
        </is>
      </c>
      <c r="Q14" s="6" t="inlineStr">
        <is>
          <t>Yes</t>
        </is>
      </c>
      <c r="R14" s="6" t="inlineStr">
        <is>
          <t>Yes</t>
        </is>
      </c>
      <c r="S14" s="6" t="inlineStr">
        <is>
          <t>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is>
      </c>
      <c r="T14" s="6" t="inlineStr">
        <is>
          <t>Broader</t>
        </is>
      </c>
      <c r="U14" s="6" t="inlineStr"/>
      <c r="V14" s="6" t="inlineStr">
        <is>
          <t>high</t>
        </is>
      </c>
      <c r="W14" s="6" t="inlineStr">
        <is>
          <t>https://legislature.idaho.gov/statutesrules/idstat/title49/t49ch16/sect49-1626/; https://legislature.idaho.gov/wp-content/uploads/statutesrules/idstat/Title49/T49CH16.pdf</t>
        </is>
      </c>
      <c r="X14" s="6" t="inlineStr">
        <is>
          <t>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is>
      </c>
    </row>
    <row r="15">
      <c r="A15" s="6" t="inlineStr">
        <is>
          <t>IL</t>
        </is>
      </c>
      <c r="B15" s="6" t="inlineStr">
        <is>
          <t>Illinois</t>
        </is>
      </c>
      <c r="C15" s="6" t="inlineStr">
        <is>
          <t>Not in statute</t>
        </is>
      </c>
      <c r="D15" s="6" t="inlineStr"/>
      <c r="E15" s="6" t="inlineStr">
        <is>
          <t>Not in statute</t>
        </is>
      </c>
      <c r="F15" s="6" t="inlineStr"/>
      <c r="G15" s="6" t="inlineStr"/>
      <c r="H15" s="6" t="inlineStr">
        <is>
          <t>Not in statute</t>
        </is>
      </c>
      <c r="I15" s="6" t="inlineStr"/>
      <c r="J15" s="6" t="inlineStr">
        <is>
          <t>No pre-chargeback response period. The 30-day correct-and-resubmit right in 710/6(b) covers disapproved claims, not chargebacks of paid claims.</t>
        </is>
      </c>
      <c r="K15" s="6" t="inlineStr">
        <is>
          <t>Not in statute</t>
        </is>
      </c>
      <c r="L15" s="6" t="inlineStr">
        <is>
          <t>Not in statute</t>
        </is>
      </c>
      <c r="M15" s="6" t="inlineStr"/>
      <c r="N15" s="6" t="inlineStr">
        <is>
          <t>silent</t>
        </is>
      </c>
      <c r="O15" s="6" t="inlineStr">
        <is>
          <t>Yes</t>
        </is>
      </c>
      <c r="P15" s="6" t="inlineStr">
        <is>
          <t>Yes</t>
        </is>
      </c>
      <c r="Q15" s="6" t="inlineStr">
        <is>
          <t>Yes</t>
        </is>
      </c>
      <c r="R15" s="6" t="inlineStr">
        <is>
          <t>Yes</t>
        </is>
      </c>
      <c r="S15" s="6" t="inlineStr">
        <is>
          <t>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is>
      </c>
      <c r="T15" s="6" t="inlineStr">
        <is>
          <t>Limited to submission</t>
        </is>
      </c>
      <c r="U15" s="6" t="inlineStr"/>
      <c r="V15" s="6" t="inlineStr">
        <is>
          <t>medium</t>
        </is>
      </c>
      <c r="W15" s="6" t="inlineStr">
        <is>
          <t>https://www.ilga.gov/Documents/legislation/ilcs/documents/081507100K6.htm; https://www.ilga.gov/legislation/ilcs/ilcs3.asp?ActID=2382&amp;ChapterID=67</t>
        </is>
      </c>
      <c r="X15" s="6" t="inlineStr">
        <is>
          <t>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is>
      </c>
    </row>
    <row r="16">
      <c r="A16" s="6" t="inlineStr">
        <is>
          <t>IN</t>
        </is>
      </c>
      <c r="B16" s="6" t="inlineStr">
        <is>
          <t>Indiana</t>
        </is>
      </c>
      <c r="C16" s="6" t="inlineStr">
        <is>
          <t>Not in statute</t>
        </is>
      </c>
      <c r="D16" s="6" t="inlineStr"/>
      <c r="E16" s="6" t="inlineStr">
        <is>
          <t>Not in statute</t>
        </is>
      </c>
      <c r="F16" s="6" t="inlineStr"/>
      <c r="G16" s="6" t="inlineStr"/>
      <c r="H16" s="6" t="inlineStr">
        <is>
          <t>Yes</t>
        </is>
      </c>
      <c r="I16" s="6" t="n">
        <v>30</v>
      </c>
      <c r="J16" s="6" t="inlineStr">
        <is>
          <t>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is>
      </c>
      <c r="K16" s="6" t="inlineStr">
        <is>
          <t>Yes</t>
        </is>
      </c>
      <c r="L16" s="6" t="inlineStr">
        <is>
          <t>Not in statute</t>
        </is>
      </c>
      <c r="M16" s="6" t="inlineStr">
        <is>
          <t>Not stated. The § 17(d) appeal runs after the notice of chargeback.</t>
        </is>
      </c>
      <c r="N16" s="6" t="inlineStr">
        <is>
          <t>silent</t>
        </is>
      </c>
      <c r="O16" s="6" t="inlineStr">
        <is>
          <t>Yes</t>
        </is>
      </c>
      <c r="P16" s="6" t="inlineStr">
        <is>
          <t>Yes</t>
        </is>
      </c>
      <c r="Q16" s="6" t="inlineStr">
        <is>
          <t>Yes</t>
        </is>
      </c>
      <c r="R16" s="6" t="inlineStr">
        <is>
          <t>Yes</t>
        </is>
      </c>
      <c r="S16" s="6" t="inlineStr">
        <is>
          <t>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is>
      </c>
      <c r="T16" s="6" t="inlineStr">
        <is>
          <t>Broader</t>
        </is>
      </c>
      <c r="U16" s="6" t="inlineStr"/>
      <c r="V16" s="6" t="inlineStr">
        <is>
          <t>high</t>
        </is>
      </c>
      <c r="W16" s="6" t="inlineStr">
        <is>
          <t>https://iga.in.gov/ic/2026/Title_9.pdf</t>
        </is>
      </c>
      <c r="X16" s="6" t="inlineStr">
        <is>
          <t>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is>
      </c>
    </row>
    <row r="17">
      <c r="A17" s="6" t="inlineStr">
        <is>
          <t>KS</t>
        </is>
      </c>
      <c r="B17" s="6" t="inlineStr">
        <is>
          <t>Kansas</t>
        </is>
      </c>
      <c r="C17" s="6" t="inlineStr">
        <is>
          <t>Not in statute</t>
        </is>
      </c>
      <c r="D17" s="6" t="inlineStr"/>
      <c r="E17" s="6" t="inlineStr">
        <is>
          <t>Not in statute</t>
        </is>
      </c>
      <c r="F17" s="6" t="inlineStr"/>
      <c r="G17" s="6" t="inlineStr"/>
      <c r="H17" s="6" t="inlineStr">
        <is>
          <t>Not in statute</t>
        </is>
      </c>
      <c r="I17" s="6" t="inlineStr"/>
      <c r="J17" s="6" t="inlineStr"/>
      <c r="K17" s="6" t="inlineStr">
        <is>
          <t>Not in statute</t>
        </is>
      </c>
      <c r="L17" s="6" t="inlineStr">
        <is>
          <t>Yes</t>
        </is>
      </c>
      <c r="M17" s="6" t="inlineStr">
        <is>
          <t>The mfr may not set off or take control of dealer funds (or funds in an account designated for the dealer) based on audit findings until a final decision is issued on any challenge or appeal of the audit or claim by either party.</t>
        </is>
      </c>
      <c r="N17" s="6" t="inlineStr">
        <is>
          <t>silent</t>
        </is>
      </c>
      <c r="O17" s="6" t="inlineStr">
        <is>
          <t>Yes</t>
        </is>
      </c>
      <c r="P17" s="6" t="inlineStr">
        <is>
          <t>Yes</t>
        </is>
      </c>
      <c r="Q17" s="6" t="inlineStr">
        <is>
          <t>Yes</t>
        </is>
      </c>
      <c r="R17" s="6" t="inlineStr">
        <is>
          <t>Yes</t>
        </is>
      </c>
      <c r="S17" s="6" t="inlineStr">
        <is>
          <t>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is>
      </c>
      <c r="T17" s="6" t="inlineStr">
        <is>
          <t>Limited to submission</t>
        </is>
      </c>
      <c r="U17" s="6" t="inlineStr">
        <is>
          <t>An unreasonable rate denial "shall be deemed a violation of this section", and the director of vehicles then sets the rate. The whole section, including the audit, chargeback and setoff limits, is enforceable under K.S.A. 8-2411.</t>
        </is>
      </c>
      <c r="V17" s="6" t="inlineStr">
        <is>
          <t>high</t>
        </is>
      </c>
      <c r="W17" s="6" t="inlineStr">
        <is>
          <t>https://ksrevisor.gov/statutes/chapters/ch08/008_024_0015.html</t>
        </is>
      </c>
      <c r="X17" s="6" t="inlineStr">
        <is>
          <t>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 Separately, K.S.A. 8-2446(d) makes it a violation to cut compensation or retaliate "through a chargeback" solely because the dealer submitted a recall or stop-sale compensation claim. It reaches only that retaliation, so it is not counted as a consequence for improper audits.</t>
        </is>
      </c>
    </row>
    <row r="18">
      <c r="A18" s="6" t="inlineStr">
        <is>
          <t>KY</t>
        </is>
      </c>
      <c r="B18" s="6" t="inlineStr">
        <is>
          <t>Kentucky</t>
        </is>
      </c>
      <c r="C18" s="6" t="inlineStr">
        <is>
          <t>Not in statute</t>
        </is>
      </c>
      <c r="D18" s="6" t="inlineStr"/>
      <c r="E18" s="6" t="inlineStr">
        <is>
          <t>Not in statute</t>
        </is>
      </c>
      <c r="F18" s="6" t="inlineStr"/>
      <c r="G18" s="6" t="inlineStr"/>
      <c r="H18" s="6" t="inlineStr">
        <is>
          <t>Yes</t>
        </is>
      </c>
      <c r="I18" s="6" t="n">
        <v>5</v>
      </c>
      <c r="J18" s="6" t="inlineStr">
        <is>
          <t>Business days. If incomplete, inaccurate or missing information is found during an audit, the mfr must promptly notify the dealer and extend the time to submit by a reasonable period of at least 5 business days after notice. There is no general rebuttal period before a chargeback.</t>
        </is>
      </c>
      <c r="K18" s="6" t="inlineStr">
        <is>
          <t>Not in statute</t>
        </is>
      </c>
      <c r="L18" s="6" t="inlineStr">
        <is>
          <t>Not in statute</t>
        </is>
      </c>
      <c r="M18" s="6" t="inlineStr"/>
      <c r="N18" s="6" t="inlineStr">
        <is>
          <t>silent</t>
        </is>
      </c>
      <c r="O18" s="6" t="inlineStr">
        <is>
          <t>Yes</t>
        </is>
      </c>
      <c r="P18" s="6" t="inlineStr">
        <is>
          <t>Yes</t>
        </is>
      </c>
      <c r="Q18" s="6" t="inlineStr">
        <is>
          <t>Yes</t>
        </is>
      </c>
      <c r="R18" s="6" t="inlineStr">
        <is>
          <t>No procedure</t>
        </is>
      </c>
      <c r="S18" s="6" t="inlineStr">
        <is>
          <t>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is>
      </c>
      <c r="T18" s="6" t="inlineStr">
        <is>
          <t>Broader</t>
        </is>
      </c>
      <c r="U18" s="6" t="inlineStr"/>
      <c r="V18" s="6" t="inlineStr">
        <is>
          <t>high</t>
        </is>
      </c>
      <c r="W18" s="6" t="inlineStr">
        <is>
          <t>https://apps.legislature.ky.gov/law/statutes/statute.aspx?id=57533; https://apps.legislature.ky.gov/record/26rs/hb648.html</t>
        </is>
      </c>
      <c r="X18" s="6" t="inlineStr">
        <is>
          <t>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enacted act, it rewrote the Class 7+ heavy-truck compensation rules in (2)(d) (incl. a 90-day minimum warranty-claim window for Class 7+), raised the minimum incentive-claim submission window in (5)(a) from 30 to 90 days, and left the audit rules in (6)-(7) unchanged. No audit-specific penalty. General fine for violating KRS 190.010-190.080: $25-$500 (KRS 190.990(1)).</t>
        </is>
      </c>
    </row>
    <row r="19">
      <c r="A19" s="6" t="inlineStr">
        <is>
          <t>LA</t>
        </is>
      </c>
      <c r="B19" s="6" t="inlineStr">
        <is>
          <t>Louisiana</t>
        </is>
      </c>
      <c r="C19" s="6" t="inlineStr">
        <is>
          <t>Not in statute</t>
        </is>
      </c>
      <c r="D19" s="6" t="inlineStr"/>
      <c r="E19" s="6" t="inlineStr">
        <is>
          <t>Not in statute</t>
        </is>
      </c>
      <c r="F19" s="6" t="inlineStr"/>
      <c r="G19" s="6" t="inlineStr">
        <is>
          <t>No more than 2 sales-related and 2 service-related audits in any 12-month period. Routine claim reviews in the normal course of business are not limited.</t>
        </is>
      </c>
      <c r="H19" s="6" t="inlineStr">
        <is>
          <t>Not in statute</t>
        </is>
      </c>
      <c r="I19" s="6" t="inlineStr"/>
      <c r="J19" s="6" t="inlineStr">
        <is>
          <t>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is>
      </c>
      <c r="K19" s="6" t="inlineStr">
        <is>
          <t>Not in statute</t>
        </is>
      </c>
      <c r="L19" s="6" t="inlineStr">
        <is>
          <t>Not in statute</t>
        </is>
      </c>
      <c r="M19" s="6" t="inlineStr"/>
      <c r="N19" s="6" t="inlineStr">
        <is>
          <t>silent</t>
        </is>
      </c>
      <c r="O19" s="6" t="inlineStr">
        <is>
          <t>Yes</t>
        </is>
      </c>
      <c r="P19" s="6" t="inlineStr">
        <is>
          <t>Yes</t>
        </is>
      </c>
      <c r="Q19" s="6" t="inlineStr">
        <is>
          <t>Yes</t>
        </is>
      </c>
      <c r="R19" s="6" t="inlineStr">
        <is>
          <t>Yes</t>
        </is>
      </c>
      <c r="S19" s="6" t="inlineStr">
        <is>
          <t>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relevant information is discovered that was not known or could not have been known when the rebuttal was issued. The dealer may protest to the Louisiana Motor Vehicle Commission within 60 days; the mfr must prove material inaccuracy by a preponderance. A dealer win is retroactive to day 45. The dealer may submit at most once per 12 months.</t>
        </is>
      </c>
      <c r="T19" s="6" t="inlineStr">
        <is>
          <t>Broader</t>
        </is>
      </c>
      <c r="U19" s="6" t="inlineStr">
        <is>
          <t>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is>
      </c>
      <c r="V19" s="6" t="inlineStr">
        <is>
          <t>high</t>
        </is>
      </c>
      <c r="W19" s="6" t="inlineStr">
        <is>
          <t>https://legis.la.gov/Legis/LawPrint.aspx?d=321503</t>
        </is>
      </c>
      <c r="X19" s="6" t="inlineStr">
        <is>
          <t>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is>
      </c>
    </row>
    <row r="20">
      <c r="A20" s="6" t="inlineStr">
        <is>
          <t>MA</t>
        </is>
      </c>
      <c r="B20" s="6" t="inlineStr">
        <is>
          <t>Massachusetts</t>
        </is>
      </c>
      <c r="C20" s="6" t="inlineStr">
        <is>
          <t>Not in statute</t>
        </is>
      </c>
      <c r="D20" s="6" t="inlineStr"/>
      <c r="E20" s="6" t="inlineStr">
        <is>
          <t>Yes</t>
        </is>
      </c>
      <c r="F20" s="6" t="inlineStr">
        <is>
          <t>At the required pre-chargeback meeting, the mfr must give a written statement of the basis on which the dealer was selected for audit or review.</t>
        </is>
      </c>
      <c r="G20" s="6" t="inlineStr"/>
      <c r="H20" s="6" t="inlineStr">
        <is>
          <t>Yes</t>
        </is>
      </c>
      <c r="I20" s="6" t="n">
        <v>30</v>
      </c>
      <c r="J20" s="6" t="inlineStr">
        <is>
          <t>A reasonable period after the meeting, matched to the volume of claims, but never less than 30 days.</t>
        </is>
      </c>
      <c r="K20" s="6" t="inlineStr">
        <is>
          <t>Not in statute</t>
        </is>
      </c>
      <c r="L20" s="6" t="inlineStr">
        <is>
          <t>Not in statute</t>
        </is>
      </c>
      <c r="M20" s="6" t="inlineStr">
        <is>
          <t>No stay pending a protest, but no chargeback may occur before the § 9(e) meeting.</t>
        </is>
      </c>
      <c r="N20" s="6" t="inlineStr">
        <is>
          <t>restricted</t>
        </is>
      </c>
      <c r="O20" s="6" t="inlineStr">
        <is>
          <t>Not in statute</t>
        </is>
      </c>
      <c r="P20" s="6" t="inlineStr">
        <is>
          <t>Yes</t>
        </is>
      </c>
      <c r="Q20" s="6" t="inlineStr">
        <is>
          <t>Yes</t>
        </is>
      </c>
      <c r="R20" s="6" t="inlineStr">
        <is>
          <t>Yes</t>
        </is>
      </c>
      <c r="S20" s="6" t="inlineStr">
        <is>
          <t>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is>
      </c>
      <c r="T20" s="6" t="inlineStr">
        <is>
          <t>Limited to submission</t>
        </is>
      </c>
      <c r="U20" s="6" t="inlineStr">
        <is>
          <t>Auditing or examining a dealer's sales or service accounts as retribution for exercising rights under ch. 93B or the franchise agreement violates § 3(a).</t>
        </is>
      </c>
      <c r="V20" s="6" t="inlineStr">
        <is>
          <t>high</t>
        </is>
      </c>
      <c r="W20" s="6" t="inlineStr">
        <is>
          <t>https://malegislature.gov/Laws/GeneralLaws/PartI/TitleXV/Chapter93B/Section9; https://malegislature.gov/Bills/194/H4019/BillHistory</t>
        </is>
      </c>
      <c r="X20" s="6" t="inlineStr">
        <is>
          <t>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is>
      </c>
    </row>
    <row r="21">
      <c r="A21" s="6" t="inlineStr">
        <is>
          <t>MD</t>
        </is>
      </c>
      <c r="B21" s="6" t="inlineStr">
        <is>
          <t>Maryland</t>
        </is>
      </c>
      <c r="C21" s="6" t="inlineStr">
        <is>
          <t>Not in statute</t>
        </is>
      </c>
      <c r="D21" s="6" t="inlineStr"/>
      <c r="E21" s="6" t="inlineStr">
        <is>
          <t>Not in statute</t>
        </is>
      </c>
      <c r="F21" s="6" t="inlineStr"/>
      <c r="G21" s="6" t="inlineStr"/>
      <c r="H21" s="6" t="inlineStr">
        <is>
          <t>Not in statute</t>
        </is>
      </c>
      <c r="I21" s="6" t="inlineStr"/>
      <c r="J21" s="6" t="inlineStr"/>
      <c r="K21" s="6" t="inlineStr">
        <is>
          <t>Not in statute</t>
        </is>
      </c>
      <c r="L21" s="6" t="inlineStr">
        <is>
          <t>Not in statute</t>
        </is>
      </c>
      <c r="M21" s="6" t="inlineStr"/>
      <c r="N21" s="6" t="inlineStr">
        <is>
          <t>silent</t>
        </is>
      </c>
      <c r="O21" s="6" t="inlineStr">
        <is>
          <t>Yes</t>
        </is>
      </c>
      <c r="P21" s="6" t="inlineStr">
        <is>
          <t>Yes</t>
        </is>
      </c>
      <c r="Q21" s="6" t="inlineStr">
        <is>
          <t>Yes</t>
        </is>
      </c>
      <c r="R21" s="6" t="inlineStr">
        <is>
          <t>Yes</t>
        </is>
      </c>
      <c r="S21" s="6" t="inlineStr">
        <is>
          <t>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is>
      </c>
      <c r="T21" s="6" t="inlineStr">
        <is>
          <t>Broader</t>
        </is>
      </c>
      <c r="U21" s="6" t="inlineStr">
        <is>
          <t>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is>
      </c>
      <c r="V21" s="6" t="inlineStr">
        <is>
          <t>high</t>
        </is>
      </c>
      <c r="W21" s="6" t="inlineStr">
        <is>
          <t>https://mgaleg.maryland.gov/mgawebsite/Laws/StatuteText?article=gtr&amp;section=15-212&amp;enactments=false; https://mgaleg.maryland.gov/mgawebsite/Laws/StatuteText?article=gtr&amp;section=15-213&amp;enactments=false; https://mgaleg.maryland.gov/mgawebsite/Legislation/Details/sb0345?ys=2026RS</t>
        </is>
      </c>
      <c r="X21" s="6" t="inlineStr">
        <is>
          <t>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is>
      </c>
    </row>
    <row r="22">
      <c r="A22" s="6" t="inlineStr">
        <is>
          <t>ME</t>
        </is>
      </c>
      <c r="B22" s="6" t="inlineStr">
        <is>
          <t>Maine</t>
        </is>
      </c>
      <c r="C22" s="6" t="inlineStr">
        <is>
          <t>Not in statute</t>
        </is>
      </c>
      <c r="D22" s="6" t="inlineStr"/>
      <c r="E22" s="6" t="inlineStr">
        <is>
          <t>Not in statute</t>
        </is>
      </c>
      <c r="F22" s="6" t="inlineStr"/>
      <c r="G22" s="6" t="inlineStr"/>
      <c r="H22" s="6" t="inlineStr">
        <is>
          <t>Not in statute</t>
        </is>
      </c>
      <c r="I22" s="6" t="inlineStr"/>
      <c r="J22" s="6" t="inlineStr"/>
      <c r="K22" s="6" t="inlineStr">
        <is>
          <t>Not in statute</t>
        </is>
      </c>
      <c r="L22" s="6" t="inlineStr">
        <is>
          <t>Not in statute</t>
        </is>
      </c>
      <c r="M22" s="6" t="inlineStr"/>
      <c r="N22" s="6" t="inlineStr">
        <is>
          <t>silent</t>
        </is>
      </c>
      <c r="O22" s="6" t="inlineStr">
        <is>
          <t>Yes</t>
        </is>
      </c>
      <c r="P22" s="6" t="inlineStr">
        <is>
          <t>Not in statute</t>
        </is>
      </c>
      <c r="Q22" s="6" t="inlineStr">
        <is>
          <t>Not in statute</t>
        </is>
      </c>
      <c r="R22" s="6" t="inlineStr">
        <is>
          <t>Yes</t>
        </is>
      </c>
      <c r="S22" s="6" t="inlineStr">
        <is>
          <t>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is>
      </c>
      <c r="T22" s="6" t="inlineStr">
        <is>
          <t>Limited to submission</t>
        </is>
      </c>
      <c r="U22" s="6" t="inlineStr"/>
      <c r="V22" s="6" t="inlineStr">
        <is>
          <t>high</t>
        </is>
      </c>
      <c r="W22" s="6" t="inlineStr">
        <is>
          <t>https://legislature.maine.gov/statutes/10/title10sec1176-A.html; https://legislature.maine.gov/statutes/10/title10sec1176.html; https://legislature.maine.gov/legis/bills/getPDF.asp?paper=HP1419&amp;item=3&amp;snum=132</t>
        </is>
      </c>
      <c r="X22" s="6" t="inlineStr">
        <is>
          <t>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The 2026 session (132nd Legislature, 2nd Regular Session) enacted no change to §§ 1176/1176-A; only PL 2025 cc. 592, 637 and 660 touched dealer or vehicle law. No Maine rule adds a warranty audit lookback (Franchise Board rules, 29-250 C.M.R. ch. 14, are procedural).</t>
        </is>
      </c>
    </row>
    <row r="23">
      <c r="A23" s="6" t="inlineStr">
        <is>
          <t>MI</t>
        </is>
      </c>
      <c r="B23" s="6" t="inlineStr">
        <is>
          <t>Michigan</t>
        </is>
      </c>
      <c r="C23" s="6" t="inlineStr">
        <is>
          <t>Not in statute</t>
        </is>
      </c>
      <c r="D23" s="6" t="inlineStr"/>
      <c r="E23" s="6" t="inlineStr">
        <is>
          <t>Yes</t>
        </is>
      </c>
      <c r="F23" s="6" t="inlineStr">
        <is>
          <t>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is>
      </c>
      <c r="G23" s="6" t="inlineStr"/>
      <c r="H23" s="6" t="inlineStr">
        <is>
          <t>Yes</t>
        </is>
      </c>
      <c r="I23" s="6" t="n">
        <v>45</v>
      </c>
      <c r="J23" s="6" t="inlineStr">
        <is>
          <t>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is>
      </c>
      <c r="K23" s="6" t="inlineStr">
        <is>
          <t>Yes</t>
        </is>
      </c>
      <c r="L23" s="6" t="inlineStr">
        <is>
          <t>Not in statute</t>
        </is>
      </c>
      <c r="M23" s="6" t="inlineStr">
        <is>
          <t>Not stated beyond the meeting/written-response precondition in (10).</t>
        </is>
      </c>
      <c r="N23" s="6" t="inlineStr">
        <is>
          <t>silent</t>
        </is>
      </c>
      <c r="O23" s="6" t="inlineStr">
        <is>
          <t>Yes</t>
        </is>
      </c>
      <c r="P23" s="6" t="inlineStr">
        <is>
          <t>Not in statute</t>
        </is>
      </c>
      <c r="Q23" s="6" t="inlineStr">
        <is>
          <t>Yes</t>
        </is>
      </c>
      <c r="R23" s="6" t="inlineStr">
        <is>
          <t>Yes</t>
        </is>
      </c>
      <c r="S23" s="6" t="inlineStr">
        <is>
          <t>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is>
      </c>
      <c r="T23" s="6" t="inlineStr">
        <is>
          <t>Broader</t>
        </is>
      </c>
      <c r="U23" s="6" t="inlineStr"/>
      <c r="V23" s="6" t="inlineStr">
        <is>
          <t>high</t>
        </is>
      </c>
      <c r="W23" s="6" t="inlineStr">
        <is>
          <t>https://www.legislature.mi.gov/Laws/MCL?objectName=mcl-445-1577; https://www.legislature.mi.gov/Laws/MCL?objectName=mcl-445-1577a</t>
        </is>
      </c>
      <c r="X23" s="6" t="inlineStr">
        <is>
          <t>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is>
      </c>
    </row>
    <row r="24">
      <c r="A24" s="6" t="inlineStr">
        <is>
          <t>MN</t>
        </is>
      </c>
      <c r="B24" s="6" t="inlineStr">
        <is>
          <t>Minnesota</t>
        </is>
      </c>
      <c r="C24" s="6" t="inlineStr">
        <is>
          <t>Not in statute</t>
        </is>
      </c>
      <c r="D24" s="6" t="inlineStr"/>
      <c r="E24" s="6" t="inlineStr">
        <is>
          <t>Not in statute</t>
        </is>
      </c>
      <c r="F24" s="6" t="inlineStr"/>
      <c r="G24" s="6" t="inlineStr"/>
      <c r="H24" s="6" t="inlineStr">
        <is>
          <t>Not in statute</t>
        </is>
      </c>
      <c r="I24" s="6" t="n">
        <v>30</v>
      </c>
      <c r="J24" s="6" t="inlineStr">
        <is>
          <t>Only for denials or chargebacks based solely on an incidental processing failure, clerical error or administrative technicality: the dealer may resubmit under reasonable guidelines within 30 days after notice. No general rebuttal period.</t>
        </is>
      </c>
      <c r="K24" s="6" t="inlineStr">
        <is>
          <t>Not in statute</t>
        </is>
      </c>
      <c r="L24" s="6" t="inlineStr">
        <is>
          <t>Not in statute</t>
        </is>
      </c>
      <c r="M24" s="6" t="inlineStr"/>
      <c r="N24" s="6" t="inlineStr">
        <is>
          <t>silent</t>
        </is>
      </c>
      <c r="O24" s="6" t="inlineStr">
        <is>
          <t>Yes</t>
        </is>
      </c>
      <c r="P24" s="6" t="inlineStr">
        <is>
          <t>Not in statute</t>
        </is>
      </c>
      <c r="Q24" s="6" t="inlineStr">
        <is>
          <t>Not in statute</t>
        </is>
      </c>
      <c r="R24" s="6" t="inlineStr">
        <is>
          <t>Yes</t>
        </is>
      </c>
      <c r="S24" s="6" t="inlineStr">
        <is>
          <t>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is>
      </c>
      <c r="T24" s="6" t="inlineStr">
        <is>
          <t>Broader</t>
        </is>
      </c>
      <c r="U24" s="6" t="inlineStr"/>
      <c r="V24" s="6" t="inlineStr">
        <is>
          <t>high</t>
        </is>
      </c>
      <c r="W24" s="6" t="inlineStr">
        <is>
          <t>https://www.revisor.mn.gov/statutes/cite/80E.041; https://www.revisor.mn.gov/statutes/cite/80E.045</t>
        </is>
      </c>
      <c r="X24" s="6" t="inlineStr">
        <is>
          <t>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is>
      </c>
    </row>
    <row r="25">
      <c r="A25" s="6" t="inlineStr">
        <is>
          <t>MO</t>
        </is>
      </c>
      <c r="B25" s="6" t="inlineStr">
        <is>
          <t>Missouri</t>
        </is>
      </c>
      <c r="C25" s="6" t="inlineStr">
        <is>
          <t>Not in statute</t>
        </is>
      </c>
      <c r="D25" s="6" t="inlineStr"/>
      <c r="E25" s="6" t="inlineStr">
        <is>
          <t>Not in statute</t>
        </is>
      </c>
      <c r="F25" s="6" t="inlineStr"/>
      <c r="G25" s="6" t="inlineStr"/>
      <c r="H25" s="6" t="inlineStr">
        <is>
          <t>Yes</t>
        </is>
      </c>
      <c r="I25" s="6" t="inlineStr"/>
      <c r="J25" s="6" t="inlineStr"/>
      <c r="K25" s="6" t="inlineStr">
        <is>
          <t>Not in statute</t>
        </is>
      </c>
      <c r="L25" s="6" t="inlineStr">
        <is>
          <t>Yes</t>
        </is>
      </c>
      <c r="M25" s="6" t="inlineStr">
        <is>
          <t>A complaint to the Administrative Hearing Commission (AHC) filed within 60 days after written notice of any adverse decision stays the chargeback pending AHC hearing and determination. The franchisor answers within 30 days, and the hearing is held within 60 days after the answer.</t>
        </is>
      </c>
      <c r="N25" s="6" t="inlineStr">
        <is>
          <t>silent</t>
        </is>
      </c>
      <c r="O25" s="6" t="inlineStr">
        <is>
          <t>Not in statute</t>
        </is>
      </c>
      <c r="P25" s="6" t="inlineStr">
        <is>
          <t>Yes</t>
        </is>
      </c>
      <c r="Q25" s="6" t="inlineStr">
        <is>
          <t>Yes</t>
        </is>
      </c>
      <c r="R25" s="6" t="inlineStr">
        <is>
          <t>No procedure</t>
        </is>
      </c>
      <c r="S25" s="6" t="inlineStr">
        <is>
          <t>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is>
      </c>
      <c r="T25" s="6" t="inlineStr">
        <is>
          <t>Broader</t>
        </is>
      </c>
      <c r="U25" s="6" t="inlineStr">
        <is>
          <t>If the AHC finds a violation of § 407.828, the chargeback (or denial or reduction) is void and the franchisor must fairly compensate the franchisee within 15 days of the order.</t>
        </is>
      </c>
      <c r="V25" s="6" t="inlineStr">
        <is>
          <t>high</t>
        </is>
      </c>
      <c r="W25" s="6" t="inlineStr">
        <is>
          <t>https://revisor.mo.gov/main/OneSection.aspx?section=407.828</t>
        </is>
      </c>
      <c r="X25" s="6" t="inlineStr">
        <is>
          <t>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is>
      </c>
    </row>
    <row r="26">
      <c r="A26" s="6" t="inlineStr">
        <is>
          <t>MS</t>
        </is>
      </c>
      <c r="B26" s="6" t="inlineStr">
        <is>
          <t>Mississippi</t>
        </is>
      </c>
      <c r="C26" s="6" t="inlineStr">
        <is>
          <t>Not in statute</t>
        </is>
      </c>
      <c r="D26" s="6" t="inlineStr"/>
      <c r="E26" s="6" t="inlineStr">
        <is>
          <t>Not in statute</t>
        </is>
      </c>
      <c r="F26" s="6" t="inlineStr"/>
      <c r="G26" s="6" t="inlineStr"/>
      <c r="H26" s="6" t="inlineStr">
        <is>
          <t>Not in statute</t>
        </is>
      </c>
      <c r="I26" s="6" t="inlineStr"/>
      <c r="J26" s="6" t="inlineStr">
        <is>
          <t>None for chargebacks. Incentive claims only: amended or supplemental claims may be filed within 60 days of when the claim was or could have been submitted (§ 63-17-117(3)).</t>
        </is>
      </c>
      <c r="K26" s="6" t="inlineStr">
        <is>
          <t>Not in statute</t>
        </is>
      </c>
      <c r="L26" s="6" t="inlineStr">
        <is>
          <t>Not in statute</t>
        </is>
      </c>
      <c r="M26" s="6" t="inlineStr"/>
      <c r="N26" s="6" t="inlineStr">
        <is>
          <t>silent</t>
        </is>
      </c>
      <c r="O26" s="6" t="inlineStr">
        <is>
          <t>Yes</t>
        </is>
      </c>
      <c r="P26" s="6" t="inlineStr">
        <is>
          <t>Yes</t>
        </is>
      </c>
      <c r="Q26" s="6" t="inlineStr">
        <is>
          <t>Yes</t>
        </is>
      </c>
      <c r="R26" s="6" t="inlineStr">
        <is>
          <t>Yes</t>
        </is>
      </c>
      <c r="S26" s="6" t="inlineStr">
        <is>
          <t>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is>
      </c>
      <c r="T26" s="6" t="inlineStr">
        <is>
          <t>Broader</t>
        </is>
      </c>
      <c r="U26" s="6" t="inlineStr"/>
      <c r="V26" s="6" t="inlineStr">
        <is>
          <t>high</t>
        </is>
      </c>
      <c r="W26" s="6" t="inlineStr">
        <is>
          <t>https://billstatus.ls.state.ms.us/documents/2014/pdf/HB/0500-0599/HB0581SG.pdf; https://billstatus.ls.state.ms.us/documents/2021/html/HB/0700-0799/HB0746SG.htm; https://billstatus.ls.state.ms.us/documents/2019/pdf/HB/0800-0899/HB0872SG.pdf</t>
        </is>
      </c>
      <c r="X26" s="6" t="inlineStr">
        <is>
          <t>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 63-17-117(1)-(4) verified 10/6/2026 on Justia (2025 Code); (1) also matched on FindLaw (current as of 1/1/2025). MMVC Rule 30-1301:12 (export-sale chargebacks only) adds a pre-chargeback meeting, a 30-90 day response, a protest that bars adverse action, and a manufacturer burden; it does not reach warranty audits.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is>
      </c>
    </row>
    <row r="27">
      <c r="A27" s="6" t="inlineStr">
        <is>
          <t>MT</t>
        </is>
      </c>
      <c r="B27" s="6" t="inlineStr">
        <is>
          <t>Montana</t>
        </is>
      </c>
      <c r="C27" s="6" t="inlineStr">
        <is>
          <t>Not in statute</t>
        </is>
      </c>
      <c r="D27" s="6" t="inlineStr"/>
      <c r="E27" s="6" t="inlineStr">
        <is>
          <t>Not in statute</t>
        </is>
      </c>
      <c r="F27" s="6" t="inlineStr"/>
      <c r="G27" s="6" t="inlineStr"/>
      <c r="H27" s="6" t="inlineStr">
        <is>
          <t>Not in statute</t>
        </is>
      </c>
      <c r="I27" s="6" t="n">
        <v>60</v>
      </c>
      <c r="J27" s="6" t="inlineStr">
        <is>
          <t>The dealer has 60 days from notice of a denial or chargeback to resubmit a claim that was denied for an incidental failure to meet a claim-processing requirement, such as a clerical error or administrative technicality. This applies to direct and indirect transactions.</t>
        </is>
      </c>
      <c r="K27" s="6" t="inlineStr">
        <is>
          <t>Not in statute</t>
        </is>
      </c>
      <c r="L27" s="6" t="inlineStr">
        <is>
          <t>Not in statute</t>
        </is>
      </c>
      <c r="M27" s="6" t="inlineStr"/>
      <c r="N27" s="6" t="inlineStr">
        <is>
          <t>silent</t>
        </is>
      </c>
      <c r="O27" s="6" t="inlineStr">
        <is>
          <t>Yes</t>
        </is>
      </c>
      <c r="P27" s="6" t="inlineStr">
        <is>
          <t>Yes</t>
        </is>
      </c>
      <c r="Q27" s="6" t="inlineStr">
        <is>
          <t>Yes</t>
        </is>
      </c>
      <c r="R27" s="6" t="inlineStr">
        <is>
          <t>Yes</t>
        </is>
      </c>
      <c r="S27" s="6" t="inlineStr">
        <is>
          <t>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is>
      </c>
      <c r="T27" s="6" t="inlineStr">
        <is>
          <t>Limited to submission</t>
        </is>
      </c>
      <c r="U27" s="6" t="inlineStr"/>
      <c r="V27" s="6" t="inlineStr">
        <is>
          <t>high</t>
        </is>
      </c>
      <c r="W27" s="6" t="inlineStr">
        <is>
          <t>https://mca.legmt.gov/bills/mca/title_0610/chapter_0040/part_0020/section_0130/0610-0040-0020-0130.html; https://mca.legmt.gov/bills/mca/title_0610/chapter_0040/part_0020/section_0040/0610-0040-0020-0040.html</t>
        </is>
      </c>
      <c r="X27" s="6" t="inlineStr">
        <is>
          <t>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is>
      </c>
    </row>
    <row r="28">
      <c r="A28" s="6" t="inlineStr">
        <is>
          <t>NC</t>
        </is>
      </c>
      <c r="B28" s="6" t="inlineStr">
        <is>
          <t>North Carolina</t>
        </is>
      </c>
      <c r="C28" s="6" t="inlineStr">
        <is>
          <t>Yes</t>
        </is>
      </c>
      <c r="D28" s="6" t="inlineStr"/>
      <c r="E28" s="6" t="inlineStr">
        <is>
          <t>Yes</t>
        </is>
      </c>
      <c r="F28" s="6" t="inlineStr">
        <is>
          <t>(1)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is>
      </c>
      <c r="G28" s="6" t="inlineStr">
        <is>
          <t>Once in any 12-month period, separately for non-cause warranty/recall audits and for non-cause incentive audits. For-cause audits are exempt.</t>
        </is>
      </c>
      <c r="H28" s="6" t="inlineStr">
        <is>
          <t>Not in statute</t>
        </is>
      </c>
      <c r="I28" s="6" t="inlineStr"/>
      <c r="J28" s="6" t="inlineStr">
        <is>
          <t>The dealer gets a reasonable opportunity at the meeting or call to explain its position on each proposed chargeback. No day count is set.</t>
        </is>
      </c>
      <c r="K28" s="6" t="inlineStr">
        <is>
          <t>Not in statute</t>
        </is>
      </c>
      <c r="L28" s="6" t="inlineStr">
        <is>
          <t>Yes</t>
        </is>
      </c>
      <c r="M28" s="6" t="inlineStr">
        <is>
          <t>Either party may petition the Commissioner within 30 days after written notice of the dispute. Once a petition is filed, any warranty, recall or incentive chargeback or withholding is stayed until the Commissioner decides.</t>
        </is>
      </c>
      <c r="N28" s="6" t="inlineStr">
        <is>
          <t>silent</t>
        </is>
      </c>
      <c r="O28" s="6" t="inlineStr">
        <is>
          <t>Yes</t>
        </is>
      </c>
      <c r="P28" s="6" t="inlineStr">
        <is>
          <t>Yes</t>
        </is>
      </c>
      <c r="Q28" s="6" t="inlineStr">
        <is>
          <t>Yes</t>
        </is>
      </c>
      <c r="R28" s="6" t="inlineStr">
        <is>
          <t>Yes</t>
        </is>
      </c>
      <c r="S28" s="6" t="inlineStr">
        <is>
          <t>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is>
      </c>
      <c r="T28" s="6" t="inlineStr">
        <is>
          <t>Limited to submission</t>
        </is>
      </c>
      <c r="U28" s="6" t="inlineStr"/>
      <c r="V28" s="6" t="inlineStr">
        <is>
          <t>high</t>
        </is>
      </c>
      <c r="W28" s="6" t="inlineStr">
        <is>
          <t>https://www.ncleg.gov/EnactedLegislation/Statutes/HTML/BySection/Chapter_20/GS_20-305.1.html; https://www.ncleg.gov/EnactedLegislation/SessionLaws/HTML/2025-2026/SL2025-41.html</t>
        </is>
      </c>
      <c r="X28" s="6" t="inlineStr">
        <is>
          <t>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is>
      </c>
    </row>
    <row r="29">
      <c r="A29" s="6" t="inlineStr">
        <is>
          <t>ND</t>
        </is>
      </c>
      <c r="B29" s="6" t="inlineStr">
        <is>
          <t>North Dakota</t>
        </is>
      </c>
      <c r="C29" s="6" t="inlineStr">
        <is>
          <t>Not in statute</t>
        </is>
      </c>
      <c r="D29" s="6" t="inlineStr"/>
      <c r="E29" s="6" t="inlineStr">
        <is>
          <t>Not in statute</t>
        </is>
      </c>
      <c r="F29" s="6" t="inlineStr"/>
      <c r="G29" s="6" t="inlineStr"/>
      <c r="H29" s="6" t="inlineStr">
        <is>
          <t>Not in statute</t>
        </is>
      </c>
      <c r="I29" s="6" t="inlineStr"/>
      <c r="J29" s="6" t="inlineStr"/>
      <c r="K29" s="6" t="inlineStr">
        <is>
          <t>Not in statute</t>
        </is>
      </c>
      <c r="L29" s="6" t="inlineStr">
        <is>
          <t>Not in statute</t>
        </is>
      </c>
      <c r="M29" s="6" t="inlineStr"/>
      <c r="N29" s="6" t="inlineStr">
        <is>
          <t>silent</t>
        </is>
      </c>
      <c r="O29" s="6" t="inlineStr">
        <is>
          <t>Not in statute</t>
        </is>
      </c>
      <c r="P29" s="6" t="inlineStr">
        <is>
          <t>Yes</t>
        </is>
      </c>
      <c r="Q29" s="6" t="inlineStr">
        <is>
          <t>Yes</t>
        </is>
      </c>
      <c r="R29" s="6" t="inlineStr">
        <is>
          <t>Yes</t>
        </is>
      </c>
      <c r="S29" s="6" t="inlineStr">
        <is>
          <t>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is>
      </c>
      <c r="T29" s="6" t="inlineStr">
        <is>
          <t>Broader</t>
        </is>
      </c>
      <c r="U29" s="6" t="inlineStr"/>
      <c r="V29" s="6" t="inlineStr">
        <is>
          <t>high</t>
        </is>
      </c>
      <c r="W29" s="6" t="inlineStr">
        <is>
          <t>https://www.ndlegis.gov/cencode/t51c07.pdf</t>
        </is>
      </c>
      <c r="X29" s="6" t="inlineStr">
        <is>
          <t>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is>
      </c>
    </row>
    <row r="30">
      <c r="A30" s="6" t="inlineStr">
        <is>
          <t>NE</t>
        </is>
      </c>
      <c r="B30" s="6" t="inlineStr">
        <is>
          <t>Nebraska</t>
        </is>
      </c>
      <c r="C30" s="6" t="inlineStr">
        <is>
          <t>Not in statute</t>
        </is>
      </c>
      <c r="D30" s="6" t="inlineStr"/>
      <c r="E30" s="6" t="inlineStr">
        <is>
          <t>Not in statute</t>
        </is>
      </c>
      <c r="F30" s="6" t="inlineStr"/>
      <c r="G30" s="6" t="inlineStr"/>
      <c r="H30" s="6" t="inlineStr">
        <is>
          <t>Not in statute</t>
        </is>
      </c>
      <c r="I30" s="6" t="inlineStr"/>
      <c r="J30" s="6" t="inlineStr">
        <is>
          <t>Incentive claims only: no reduction or chargeback until the dealer has had notice and an opportunity to correct any deficiency and resubmit. No day count is set. Warranty claims rejected for a clerical error may be resubmitted 'in a timely manner' (§ 60-1438(5)).</t>
        </is>
      </c>
      <c r="K30" s="6" t="inlineStr">
        <is>
          <t>Not in statute</t>
        </is>
      </c>
      <c r="L30" s="6" t="inlineStr">
        <is>
          <t>Yes</t>
        </is>
      </c>
      <c r="M30" s="6" t="inlineStr">
        <is>
          <t>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is>
      </c>
      <c r="N30" s="6" t="inlineStr">
        <is>
          <t>silent</t>
        </is>
      </c>
      <c r="O30" s="6" t="inlineStr">
        <is>
          <t>Yes</t>
        </is>
      </c>
      <c r="P30" s="6" t="inlineStr">
        <is>
          <t>Yes</t>
        </is>
      </c>
      <c r="Q30" s="6" t="inlineStr">
        <is>
          <t>Yes</t>
        </is>
      </c>
      <c r="R30" s="6" t="inlineStr">
        <is>
          <t>Yes</t>
        </is>
      </c>
      <c r="S30" s="6" t="inlineStr">
        <is>
          <t>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is>
      </c>
      <c r="T30" s="6" t="inlineStr">
        <is>
          <t>Broader</t>
        </is>
      </c>
      <c r="U30" s="6" t="inlineStr"/>
      <c r="V30" s="6" t="inlineStr">
        <is>
          <t>high</t>
        </is>
      </c>
      <c r="W30" s="6" t="inlineStr">
        <is>
          <t>https://nebraskalegislature.gov/laws/statutes.php?statute=60-1438; https://nebraskalegislature.gov/laws/statutes.php?statute=60-1437; https://nebraskalegislature.gov/laws/statutes.php?statute=60-1441</t>
        </is>
      </c>
      <c r="X30" s="6" t="inlineStr">
        <is>
          <t>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Checked 10/6/2026: the operative § 60-1438 page shows no RV subsection, and the RV exclusion is codified at § 60-1419.01. The § 60-1437(10)-(11) and § 60-1438(5) quotes match the operative text.</t>
        </is>
      </c>
    </row>
    <row r="31">
      <c r="A31" s="6" t="inlineStr">
        <is>
          <t>NH</t>
        </is>
      </c>
      <c r="B31" s="6" t="inlineStr">
        <is>
          <t>New Hampshire</t>
        </is>
      </c>
      <c r="C31" s="6" t="inlineStr">
        <is>
          <t>Not in statute</t>
        </is>
      </c>
      <c r="D31" s="6" t="inlineStr"/>
      <c r="E31" s="6" t="inlineStr">
        <is>
          <t>Not in statute</t>
        </is>
      </c>
      <c r="F31" s="6" t="inlineStr"/>
      <c r="G31" s="6" t="inlineStr"/>
      <c r="H31" s="6" t="inlineStr">
        <is>
          <t>Not in statute</t>
        </is>
      </c>
      <c r="I31" s="6" t="inlineStr"/>
      <c r="J31" s="6" t="inlineStr"/>
      <c r="K31" s="6" t="inlineStr">
        <is>
          <t>Not in statute</t>
        </is>
      </c>
      <c r="L31" s="6" t="inlineStr">
        <is>
          <t>Yes</t>
        </is>
      </c>
      <c r="M31" s="6" t="inlineStr">
        <is>
          <t>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is>
      </c>
      <c r="N31" s="6" t="inlineStr">
        <is>
          <t>silent</t>
        </is>
      </c>
      <c r="O31" s="6" t="inlineStr">
        <is>
          <t>Yes</t>
        </is>
      </c>
      <c r="P31" s="6" t="inlineStr">
        <is>
          <t>Yes</t>
        </is>
      </c>
      <c r="Q31" s="6" t="inlineStr">
        <is>
          <t>Yes</t>
        </is>
      </c>
      <c r="R31" s="6" t="inlineStr">
        <is>
          <t>Yes</t>
        </is>
      </c>
      <c r="S31" s="6" t="inlineStr">
        <is>
          <t>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is>
      </c>
      <c r="T31" s="6" t="inlineStr">
        <is>
          <t>Broader</t>
        </is>
      </c>
      <c r="U31" s="6" t="inlineStr"/>
      <c r="V31" s="6" t="inlineStr">
        <is>
          <t>high</t>
        </is>
      </c>
      <c r="W31" s="6" t="inlineStr">
        <is>
          <t>https://gc.nh.gov/rsa/html/XXXI/357-C/357-C-5.htm</t>
        </is>
      </c>
      <c r="X31" s="6" t="inlineStr">
        <is>
          <t>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is>
      </c>
    </row>
    <row r="32">
      <c r="A32" s="6" t="inlineStr">
        <is>
          <t>NJ</t>
        </is>
      </c>
      <c r="B32" s="6" t="inlineStr">
        <is>
          <t>New Jersey</t>
        </is>
      </c>
      <c r="C32" s="6" t="inlineStr">
        <is>
          <t>Not in statute</t>
        </is>
      </c>
      <c r="D32" s="6" t="inlineStr"/>
      <c r="E32" s="6" t="inlineStr">
        <is>
          <t>Yes</t>
        </is>
      </c>
      <c r="F32" s="6" t="inlineStr">
        <is>
          <t>For every warranty-type or incentive chargeback, the written notice due within 30 days from the audit must explain the methodology used to select the franchisee for audit or review.</t>
        </is>
      </c>
      <c r="G32" s="6" t="inlineStr"/>
      <c r="H32" s="6" t="inlineStr">
        <is>
          <t>Yes</t>
        </is>
      </c>
      <c r="I32" s="6" t="inlineStr"/>
      <c r="J32" s="6" t="inlineStr"/>
      <c r="K32" s="6" t="inlineStr">
        <is>
          <t>Not in statute</t>
        </is>
      </c>
      <c r="L32" s="6" t="inlineStr">
        <is>
          <t>Yes</t>
        </is>
      </c>
      <c r="M32" s="6" t="inlineStr">
        <is>
          <t>An administrative or judicial Franchise Practices Act action filed within 30 days of receiving final notice stays the full proposed chargeback, without bond, until final judgment.</t>
        </is>
      </c>
      <c r="N32" s="6" t="inlineStr">
        <is>
          <t>silent</t>
        </is>
      </c>
      <c r="O32" s="6" t="inlineStr">
        <is>
          <t>Yes</t>
        </is>
      </c>
      <c r="P32" s="6" t="inlineStr">
        <is>
          <t>Yes</t>
        </is>
      </c>
      <c r="Q32" s="6" t="inlineStr">
        <is>
          <t>Yes</t>
        </is>
      </c>
      <c r="R32" s="6" t="inlineStr">
        <is>
          <t>Yes</t>
        </is>
      </c>
      <c r="S32" s="6" t="inlineStr">
        <is>
          <t>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is>
      </c>
      <c r="T32" s="6" t="inlineStr">
        <is>
          <t>Limited to submission</t>
        </is>
      </c>
      <c r="U32" s="6" t="inlineStr"/>
      <c r="V32" s="6" t="inlineStr">
        <is>
          <t>high</t>
        </is>
      </c>
      <c r="W32" s="6" t="inlineStr">
        <is>
          <t>https://pub.njleg.gov/Bills/2024/PL25/140_.PDF</t>
        </is>
      </c>
      <c r="X32" s="6" t="inlineStr">
        <is>
          <t>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codified text checked on Justia 2025 N.J. Rev. Stat. § 56:10-15 (history through 2025, c.140, s.7); it matches the enrolled law. The official lis.njleg NXT site could not be fetched.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is>
      </c>
    </row>
    <row r="33">
      <c r="A33" s="6" t="inlineStr">
        <is>
          <t>NM</t>
        </is>
      </c>
      <c r="B33" s="6" t="inlineStr">
        <is>
          <t>New Mexico</t>
        </is>
      </c>
      <c r="C33" s="6" t="inlineStr">
        <is>
          <t>Not in statute</t>
        </is>
      </c>
      <c r="D33" s="6" t="inlineStr"/>
      <c r="E33" s="6" t="inlineStr">
        <is>
          <t>Not in statute</t>
        </is>
      </c>
      <c r="F33" s="6" t="inlineStr"/>
      <c r="G33" s="6" t="inlineStr"/>
      <c r="H33" s="6" t="inlineStr">
        <is>
          <t>Not in statute</t>
        </is>
      </c>
      <c r="I33" s="6" t="n">
        <v>90</v>
      </c>
      <c r="J33" s="6" t="inlineStr">
        <is>
          <t>A paid claim or incentive may not be charged back for an incidental claim-requirement failure, clerical error or technicality if the dealer corrects it under licensee guidelines within 90 days of learning of it and documents the need for the repair.</t>
        </is>
      </c>
      <c r="K33" s="6" t="inlineStr">
        <is>
          <t>Not in statute</t>
        </is>
      </c>
      <c r="L33" s="6" t="inlineStr">
        <is>
          <t>Not in statute</t>
        </is>
      </c>
      <c r="M33" s="6" t="inlineStr"/>
      <c r="N33" s="6" t="inlineStr">
        <is>
          <t>silent</t>
        </is>
      </c>
      <c r="O33" s="6" t="inlineStr">
        <is>
          <t>Yes</t>
        </is>
      </c>
      <c r="P33" s="6" t="inlineStr">
        <is>
          <t>Yes</t>
        </is>
      </c>
      <c r="Q33" s="6" t="inlineStr">
        <is>
          <t>Yes</t>
        </is>
      </c>
      <c r="R33" s="6" t="inlineStr">
        <is>
          <t>Yes</t>
        </is>
      </c>
      <c r="S33" s="6" t="inlineStr">
        <is>
          <t>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is>
      </c>
      <c r="T33" s="6" t="inlineStr">
        <is>
          <t>Broader</t>
        </is>
      </c>
      <c r="U33" s="6" t="inlineStr"/>
      <c r="V33" s="6" t="inlineStr">
        <is>
          <t>high</t>
        </is>
      </c>
      <c r="W33" s="6" t="inlineStr">
        <is>
          <t>https://nmonesource.com/nmos/nmsa/en/4423/1/document.do; https://nmonesource.com/nmos/nmsa/en/item/4423/index.do</t>
        </is>
      </c>
      <c r="X33" s="6" t="inlineStr">
        <is>
          <t>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is>
      </c>
    </row>
    <row r="34">
      <c r="A34" s="6" t="inlineStr">
        <is>
          <t>NV</t>
        </is>
      </c>
      <c r="B34" s="6" t="inlineStr">
        <is>
          <t>Nevada</t>
        </is>
      </c>
      <c r="C34" s="6" t="inlineStr">
        <is>
          <t>Not in statute</t>
        </is>
      </c>
      <c r="D34" s="6" t="inlineStr"/>
      <c r="E34" s="6" t="inlineStr">
        <is>
          <t>Not in statute</t>
        </is>
      </c>
      <c r="F34" s="6" t="inlineStr"/>
      <c r="G34" s="6" t="inlineStr"/>
      <c r="H34" s="6" t="inlineStr">
        <is>
          <t>Not in statute</t>
        </is>
      </c>
      <c r="I34" s="6" t="n">
        <v>60</v>
      </c>
      <c r="J34" s="6" t="inlineStr">
        <is>
          <t>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is>
      </c>
      <c r="K34" s="6" t="inlineStr">
        <is>
          <t>Yes</t>
        </is>
      </c>
      <c r="L34" s="6" t="inlineStr">
        <is>
          <t>Not in statute</t>
        </is>
      </c>
      <c r="M34" s="6" t="inlineStr"/>
      <c r="N34" s="6" t="inlineStr">
        <is>
          <t>silent</t>
        </is>
      </c>
      <c r="O34" s="6" t="inlineStr">
        <is>
          <t>Yes</t>
        </is>
      </c>
      <c r="P34" s="6" t="inlineStr">
        <is>
          <t>Yes</t>
        </is>
      </c>
      <c r="Q34" s="6" t="inlineStr">
        <is>
          <t>Not in statute</t>
        </is>
      </c>
      <c r="R34" s="6" t="inlineStr">
        <is>
          <t>No procedure</t>
        </is>
      </c>
      <c r="S34" s="6" t="inlineStr"/>
      <c r="T34" s="6" t="inlineStr">
        <is>
          <t>Broader</t>
        </is>
      </c>
      <c r="U34" s="6" t="inlineStr"/>
      <c r="V34" s="6" t="inlineStr">
        <is>
          <t>high</t>
        </is>
      </c>
      <c r="W34" s="6" t="inlineStr">
        <is>
          <t>https://www.leg.state.nv.us/NRS/NRS-482.html#NRS482Sec36385</t>
        </is>
      </c>
      <c r="X34" s="6" t="inlineStr">
        <is>
          <t>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is>
      </c>
    </row>
    <row r="35">
      <c r="A35" s="6" t="inlineStr">
        <is>
          <t>NY</t>
        </is>
      </c>
      <c r="B35" s="6" t="inlineStr">
        <is>
          <t>New York</t>
        </is>
      </c>
      <c r="C35" s="6" t="inlineStr">
        <is>
          <t>Not in statute</t>
        </is>
      </c>
      <c r="D35" s="6" t="inlineStr"/>
      <c r="E35" s="6" t="inlineStr">
        <is>
          <t>Yes</t>
        </is>
      </c>
      <c r="F35" s="6" t="inlineStr">
        <is>
          <t>Applies only if the dealer was selected because its claims looked excessive against average, mean or aggregate data or other franchisees' claims. The franchisor must then give a written statement of the selection basis or methodology at or before the pre-chargeback meeting or call.</t>
        </is>
      </c>
      <c r="G35" s="6" t="inlineStr"/>
      <c r="H35" s="6" t="inlineStr">
        <is>
          <t>Not in statute</t>
        </is>
      </c>
      <c r="I35" s="6" t="inlineStr"/>
      <c r="J35" s="6" t="inlineStr">
        <is>
          <t>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is>
      </c>
      <c r="K35" s="6" t="inlineStr">
        <is>
          <t>Not in statute</t>
        </is>
      </c>
      <c r="L35" s="6" t="inlineStr">
        <is>
          <t>Yes</t>
        </is>
      </c>
      <c r="M35" s="6" t="inlineStr">
        <is>
          <t>An action under Article 17-A filed within 30 days of the final-amount notice stays the chargeback, without bond, until final judgment.</t>
        </is>
      </c>
      <c r="N35" s="6" t="inlineStr">
        <is>
          <t>silent</t>
        </is>
      </c>
      <c r="O35" s="6" t="inlineStr">
        <is>
          <t>Yes</t>
        </is>
      </c>
      <c r="P35" s="6" t="inlineStr">
        <is>
          <t>Yes</t>
        </is>
      </c>
      <c r="Q35" s="6" t="inlineStr">
        <is>
          <t>Yes</t>
        </is>
      </c>
      <c r="R35" s="6" t="inlineStr">
        <is>
          <t>Yes</t>
        </is>
      </c>
      <c r="S35" s="6" t="inlineStr">
        <is>
          <t>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is>
      </c>
      <c r="T35" s="6" t="inlineStr">
        <is>
          <t>Broader</t>
        </is>
      </c>
      <c r="U35" s="6" t="inlineStr"/>
      <c r="V35" s="6" t="inlineStr">
        <is>
          <t>high</t>
        </is>
      </c>
      <c r="W35" s="6" t="inlineStr">
        <is>
          <t>https://www.nysenate.gov/legislation/laws/VAT/465; https://newyork.public.law/laws/n.y._vehicle_and_traffic_law_section_465</t>
        </is>
      </c>
      <c r="X35" s="6" t="inlineStr">
        <is>
          <t>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is>
      </c>
    </row>
    <row r="36">
      <c r="A36" s="6" t="inlineStr">
        <is>
          <t>OH</t>
        </is>
      </c>
      <c r="B36" s="6" t="inlineStr">
        <is>
          <t>Ohio</t>
        </is>
      </c>
      <c r="C36" s="6" t="inlineStr">
        <is>
          <t>Not in statute</t>
        </is>
      </c>
      <c r="D36" s="6" t="inlineStr"/>
      <c r="E36" s="6" t="inlineStr">
        <is>
          <t>Not in statute</t>
        </is>
      </c>
      <c r="F36" s="6" t="inlineStr"/>
      <c r="G36" s="6" t="inlineStr"/>
      <c r="H36" s="6" t="inlineStr">
        <is>
          <t>Not in statute</t>
        </is>
      </c>
      <c r="I36" s="6" t="inlineStr"/>
      <c r="J36" s="6" t="inlineStr"/>
      <c r="K36" s="6" t="inlineStr">
        <is>
          <t>Not in statute</t>
        </is>
      </c>
      <c r="L36" s="6" t="inlineStr">
        <is>
          <t>Yes</t>
        </is>
      </c>
      <c r="M36" s="6" t="inlineStr">
        <is>
          <t>No chargeback while it is the subject of adjudication, internal appeal, mediation or arbitration. For adjudication or legal action, the chargeback waits for a final appealable order.</t>
        </is>
      </c>
      <c r="N36" s="6" t="inlineStr">
        <is>
          <t>silent</t>
        </is>
      </c>
      <c r="O36" s="6" t="inlineStr">
        <is>
          <t>Yes</t>
        </is>
      </c>
      <c r="P36" s="6" t="inlineStr">
        <is>
          <t>Yes</t>
        </is>
      </c>
      <c r="Q36" s="6" t="inlineStr">
        <is>
          <t>Yes</t>
        </is>
      </c>
      <c r="R36" s="6" t="inlineStr">
        <is>
          <t>Yes</t>
        </is>
      </c>
      <c r="S36" s="6" t="inlineStr">
        <is>
          <t>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is>
      </c>
      <c r="T36" s="6" t="inlineStr">
        <is>
          <t>Broader</t>
        </is>
      </c>
      <c r="U36" s="6" t="inlineStr">
        <is>
          <t>Any unreasonable denial, delay or restriction of a valid reimbursement claim makes the manufacturer liable for statutory interest (R.C. 1343.03(A)) until paid.</t>
        </is>
      </c>
      <c r="V36" s="6" t="inlineStr">
        <is>
          <t>high</t>
        </is>
      </c>
      <c r="W36" s="6" t="inlineStr">
        <is>
          <t>https://codes.ohio.gov/ohio-revised-code/section-4517.59; https://codes.ohio.gov/ohio-revised-code/section-4517.52</t>
        </is>
      </c>
      <c r="X36" s="6" t="inlineStr">
        <is>
          <t>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is>
      </c>
    </row>
    <row r="37">
      <c r="A37" s="6" t="inlineStr">
        <is>
          <t>OK</t>
        </is>
      </c>
      <c r="B37" s="6" t="inlineStr">
        <is>
          <t>Oklahoma</t>
        </is>
      </c>
      <c r="C37" s="6" t="inlineStr">
        <is>
          <t>Not in statute</t>
        </is>
      </c>
      <c r="D37" s="6" t="inlineStr"/>
      <c r="E37" s="6" t="inlineStr">
        <is>
          <t>Not in statute</t>
        </is>
      </c>
      <c r="F37" s="6" t="inlineStr"/>
      <c r="G37" s="6" t="inlineStr"/>
      <c r="H37" s="6" t="inlineStr">
        <is>
          <t>Yes</t>
        </is>
      </c>
      <c r="I37" s="6" t="inlineStr"/>
      <c r="J37" s="6" t="inlineStr">
        <is>
          <t>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is>
      </c>
      <c r="K37" s="6" t="inlineStr">
        <is>
          <t>Not in statute</t>
        </is>
      </c>
      <c r="L37" s="6" t="inlineStr">
        <is>
          <t>Yes</t>
        </is>
      </c>
      <c r="M37" s="6" t="inlineStr">
        <is>
          <t>No chargeback or account debit until the protest period has passed or the Commission issues a final adjudication, whichever is later, unless the dealer has agreed to the chargeback.</t>
        </is>
      </c>
      <c r="N37" s="6" t="inlineStr">
        <is>
          <t>silent</t>
        </is>
      </c>
      <c r="O37" s="6" t="inlineStr">
        <is>
          <t>Not in statute</t>
        </is>
      </c>
      <c r="P37" s="6" t="inlineStr">
        <is>
          <t>Yes</t>
        </is>
      </c>
      <c r="Q37" s="6" t="inlineStr">
        <is>
          <t>Yes</t>
        </is>
      </c>
      <c r="R37" s="6" t="inlineStr">
        <is>
          <t>Yes</t>
        </is>
      </c>
      <c r="S37" s="6" t="inlineStr">
        <is>
          <t>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is>
      </c>
      <c r="T37" s="6" t="inlineStr">
        <is>
          <t>Broader</t>
        </is>
      </c>
      <c r="U37" s="6" t="inlineStr"/>
      <c r="V37" s="6" t="inlineStr">
        <is>
          <t>medium</t>
        </is>
      </c>
      <c r="W37" s="6" t="inlineStr">
        <is>
          <t>https://oklegislature.gov/cf_pdf/2025-26%20ENR/hB/HB2160%20ENR.PDF; https://oklegislature.gov/cf_pdf/2025-26%20ENR/hB/HB2158%20ENR.PDF</t>
        </is>
      </c>
      <c r="X37" s="6" t="inlineStr">
        <is>
          <t>Codified 2025 text exists in two versions (565v1 HB 2158; 565v2 HB 2160), read on Justia and matched to the enrolled acts; OSCN not accessible.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is>
      </c>
    </row>
    <row r="38">
      <c r="A38" s="6" t="inlineStr">
        <is>
          <t>OR</t>
        </is>
      </c>
      <c r="B38" s="6" t="inlineStr">
        <is>
          <t>Oregon</t>
        </is>
      </c>
      <c r="C38" s="6" t="inlineStr">
        <is>
          <t>Not in statute</t>
        </is>
      </c>
      <c r="D38" s="6" t="inlineStr"/>
      <c r="E38" s="6" t="inlineStr">
        <is>
          <t>Not in statute</t>
        </is>
      </c>
      <c r="F38" s="6" t="inlineStr"/>
      <c r="G38" s="6" t="inlineStr"/>
      <c r="H38" s="6" t="inlineStr">
        <is>
          <t>Not in statute</t>
        </is>
      </c>
      <c r="I38" s="6" t="n">
        <v>45</v>
      </c>
      <c r="J38" s="6" t="inlineStr">
        <is>
          <t>No denial or chargeback solely for a clerical or administrative processing error that does not affect legitimacy, if the dealer resubmits a compliant claim within 45 days after the initial denial or chargeback. The same rule was (5)(b) in the pre-2026 text.</t>
        </is>
      </c>
      <c r="K38" s="6" t="inlineStr">
        <is>
          <t>Not in statute</t>
        </is>
      </c>
      <c r="L38" s="6" t="inlineStr">
        <is>
          <t>Not in statute</t>
        </is>
      </c>
      <c r="M38" s="6" t="inlineStr"/>
      <c r="N38" s="6" t="inlineStr">
        <is>
          <t>silent</t>
        </is>
      </c>
      <c r="O38" s="6" t="inlineStr">
        <is>
          <t>Yes</t>
        </is>
      </c>
      <c r="P38" s="6" t="inlineStr">
        <is>
          <t>Yes</t>
        </is>
      </c>
      <c r="Q38" s="6" t="inlineStr">
        <is>
          <t>Yes</t>
        </is>
      </c>
      <c r="R38" s="6" t="inlineStr">
        <is>
          <t>Yes</t>
        </is>
      </c>
      <c r="S38" s="6" t="inlineStr">
        <is>
          <t>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is>
      </c>
      <c r="T38" s="6" t="inlineStr">
        <is>
          <t>Broader</t>
        </is>
      </c>
      <c r="U38" s="6" t="inlineStr"/>
      <c r="V38" s="6" t="inlineStr">
        <is>
          <t>high</t>
        </is>
      </c>
      <c r="W38" s="6" t="inlineStr">
        <is>
          <t>https://www.oregonlegislature.gov/bills_laws/ors/ors650.html; https://www.oregonlegislature.gov/bills_laws/archive/2023ors650.pdf; https://olis.oregonlegislature.gov/liz/2025R1/Downloads/MeasureDocument/HB2127</t>
        </is>
      </c>
      <c r="X38" s="6" t="inlineStr">
        <is>
          <t>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is>
      </c>
    </row>
    <row r="39">
      <c r="A39" s="6" t="inlineStr">
        <is>
          <t>PA</t>
        </is>
      </c>
      <c r="B39" s="6" t="inlineStr">
        <is>
          <t>Pennsylvania</t>
        </is>
      </c>
      <c r="C39" s="6" t="inlineStr">
        <is>
          <t>Not in statute</t>
        </is>
      </c>
      <c r="D39" s="6" t="inlineStr"/>
      <c r="E39" s="6" t="inlineStr">
        <is>
          <t>Not in statute</t>
        </is>
      </c>
      <c r="F39" s="6" t="inlineStr"/>
      <c r="G39" s="6" t="inlineStr"/>
      <c r="H39" s="6" t="inlineStr">
        <is>
          <t>Yes</t>
        </is>
      </c>
      <c r="I39" s="6" t="inlineStr"/>
      <c r="J39" s="6" t="inlineStr">
        <is>
          <t>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is>
      </c>
      <c r="K39" s="6" t="inlineStr">
        <is>
          <t>Not in statute</t>
        </is>
      </c>
      <c r="L39" s="6" t="inlineStr">
        <is>
          <t>Yes</t>
        </is>
      </c>
      <c r="M39" s="6" t="inlineStr">
        <is>
          <t>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 A Board protest must be accompanied by a written mediation demand served on the manufacturer before or with the filing (BOVA § 309(a); 49 Pa. Code § 19.32(a)(1)).</t>
        </is>
      </c>
      <c r="N39" s="6" t="inlineStr">
        <is>
          <t>silent</t>
        </is>
      </c>
      <c r="O39" s="6" t="inlineStr">
        <is>
          <t>Not in statute</t>
        </is>
      </c>
      <c r="P39" s="6" t="inlineStr">
        <is>
          <t>Yes</t>
        </is>
      </c>
      <c r="Q39" s="6" t="inlineStr">
        <is>
          <t>Yes</t>
        </is>
      </c>
      <c r="R39" s="6" t="inlineStr">
        <is>
          <t>Yes</t>
        </is>
      </c>
      <c r="S39" s="6" t="inlineStr">
        <is>
          <t>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is>
      </c>
      <c r="T39" s="6" t="inlineStr">
        <is>
          <t>Broader</t>
        </is>
      </c>
      <c r="U39" s="6" t="inlineStr">
        <is>
          <t>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is>
      </c>
      <c r="V39" s="6" t="inlineStr">
        <is>
          <t>high</t>
        </is>
      </c>
      <c r="W39" s="6" t="inlineStr">
        <is>
          <t>https://www.legis.state.pa.us/WU01/LI/LI/US/HTM/1983/0/0084..HTM</t>
        </is>
      </c>
      <c r="X39" s="6" t="inlineStr">
        <is>
          <t>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is>
      </c>
    </row>
    <row r="40">
      <c r="A40" s="6" t="inlineStr">
        <is>
          <t>RI</t>
        </is>
      </c>
      <c r="B40" s="6" t="inlineStr">
        <is>
          <t>Rhode Island</t>
        </is>
      </c>
      <c r="C40" s="6" t="inlineStr">
        <is>
          <t>Not in statute</t>
        </is>
      </c>
      <c r="D40" s="6" t="inlineStr"/>
      <c r="E40" s="6" t="inlineStr">
        <is>
          <t>Not in statute</t>
        </is>
      </c>
      <c r="F40" s="6" t="inlineStr"/>
      <c r="G40" s="6" t="inlineStr">
        <is>
          <t>No 'unreasonable' warranty audit or chargeback (qualitative standard, no numeric cap). Either party may appeal to the Department.</t>
        </is>
      </c>
      <c r="H40" s="6" t="inlineStr">
        <is>
          <t>Yes</t>
        </is>
      </c>
      <c r="I40" s="6" t="n">
        <v>60</v>
      </c>
      <c r="J40" s="6" t="inlineStr">
        <is>
          <t>Applies only to chargebacks for an 'incidental failure' (clerical error or administrative technicality). The dealer has at least 60 days from the written notice of the proposed chargeback to resubmit, and a properly resubmitted claim cannot then be charged back. No general rebuttal period applies to other chargebacks. The same 60 days applies to incentive claims (§ 31-5.1-21(c)(1)(ii)).</t>
        </is>
      </c>
      <c r="K40" s="6" t="inlineStr">
        <is>
          <t>Not in statute</t>
        </is>
      </c>
      <c r="L40" s="6" t="inlineStr">
        <is>
          <t>Not in statute</t>
        </is>
      </c>
      <c r="M40" s="6" t="inlineStr"/>
      <c r="N40" s="6" t="inlineStr">
        <is>
          <t>silent</t>
        </is>
      </c>
      <c r="O40" s="6" t="inlineStr">
        <is>
          <t>Yes</t>
        </is>
      </c>
      <c r="P40" s="6" t="inlineStr">
        <is>
          <t>Not in statute</t>
        </is>
      </c>
      <c r="Q40" s="6" t="inlineStr">
        <is>
          <t>Yes</t>
        </is>
      </c>
      <c r="R40" s="6" t="inlineStr">
        <is>
          <t>Yes</t>
        </is>
      </c>
      <c r="S40" s="6" t="inlineStr">
        <is>
          <t>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is>
      </c>
      <c r="T40" s="6" t="inlineStr">
        <is>
          <t>Broader</t>
        </is>
      </c>
      <c r="U40" s="6" t="inlineStr">
        <is>
          <t>Disputes under (h), including unreasonable audits or chargebacks, may be appealed by either party to the Department of Revenue, which acts through the Dealers' License and Hearing Board (280-RICR-30-20-1.3).</t>
        </is>
      </c>
      <c r="V40" s="6" t="inlineStr">
        <is>
          <t>high</t>
        </is>
      </c>
      <c r="W40" s="6" t="inlineStr">
        <is>
          <t>https://webserver.rilegislature.gov/Statutes/TITLE31/31-5.1/31-5.1-6.htm; https://webserver.rilegislature.gov/Statutes/TITLE31/31-5.1/31-5.1-21.htm; https://webserver.rilegislature.gov/PublicLaws/law26/law26180.htm; https://webserver.rilegislature.gov/PublicLaws/law26/law26179.htm</t>
        </is>
      </c>
      <c r="X40" s="6" t="inlineStr">
        <is>
          <t>Fields reflect the law in force since 10/1/2026 (P.L. 2026 ch. 179/180), taken from the enacted public-law text with struck language removed; the codified site still showed the old text on 10/6/2026. Also new on 10/1/2026: written claim denials with a detailed explanation within 45 days and 45 days to resubmit; for time-based denials the manufacturer must provide evidence that the technician did not spend the submitted time or that the submission did not comply; the manufacturer may protest a corrected claim to the Department within 30 days; labor is paid on technician time-punch with a dealer attestation; at least 90 days to submit claims.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is>
      </c>
    </row>
    <row r="41">
      <c r="A41" s="6" t="inlineStr">
        <is>
          <t>SC</t>
        </is>
      </c>
      <c r="B41" s="6" t="inlineStr">
        <is>
          <t>South Carolina</t>
        </is>
      </c>
      <c r="C41" s="6" t="inlineStr">
        <is>
          <t>Not in statute</t>
        </is>
      </c>
      <c r="D41" s="6" t="inlineStr"/>
      <c r="E41" s="6" t="inlineStr">
        <is>
          <t>Not in statute</t>
        </is>
      </c>
      <c r="F41" s="6" t="inlineStr"/>
      <c r="G41" s="6" t="inlineStr">
        <is>
          <t>Once within any 12-month period, covering only the 12 months after payment of the claim. Stated separately for (1) warranty/recall/used-vehicle stop-sale compensation audits and (2) sales/service incentive and rebate audits. Fraud excepted.</t>
        </is>
      </c>
      <c r="H41" s="6" t="inlineStr">
        <is>
          <t>Not in statute</t>
        </is>
      </c>
      <c r="I41" s="6" t="inlineStr"/>
      <c r="J41" s="6" t="inlineStr"/>
      <c r="K41" s="6" t="inlineStr">
        <is>
          <t>Not in statute</t>
        </is>
      </c>
      <c r="L41" s="6" t="inlineStr">
        <is>
          <t>Not in statute</t>
        </is>
      </c>
      <c r="M41" s="6" t="inlineStr"/>
      <c r="N41" s="6" t="inlineStr">
        <is>
          <t>silent</t>
        </is>
      </c>
      <c r="O41" s="6" t="inlineStr">
        <is>
          <t>Yes</t>
        </is>
      </c>
      <c r="P41" s="6" t="inlineStr">
        <is>
          <t>Yes</t>
        </is>
      </c>
      <c r="Q41" s="6" t="inlineStr">
        <is>
          <t>Yes</t>
        </is>
      </c>
      <c r="R41" s="6" t="inlineStr">
        <is>
          <t>Yes</t>
        </is>
      </c>
      <c r="S41" s="6" t="inlineStr">
        <is>
          <t>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is>
      </c>
      <c r="T41" s="6" t="inlineStr">
        <is>
          <t>Broader</t>
        </is>
      </c>
      <c r="U41" s="6" t="inlineStr"/>
      <c r="V41" s="6" t="inlineStr">
        <is>
          <t>high</t>
        </is>
      </c>
      <c r="W41" s="6" t="inlineStr">
        <is>
          <t>https://www.scstatehouse.gov/code/t56c015.php</t>
        </is>
      </c>
      <c r="X41" s="6" t="inlineStr">
        <is>
          <t>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is>
      </c>
    </row>
    <row r="42">
      <c r="A42" s="6" t="inlineStr">
        <is>
          <t>SD</t>
        </is>
      </c>
      <c r="B42" s="6" t="inlineStr">
        <is>
          <t>South Dakota</t>
        </is>
      </c>
      <c r="C42" s="6" t="inlineStr">
        <is>
          <t>Not in statute</t>
        </is>
      </c>
      <c r="D42" s="6" t="inlineStr"/>
      <c r="E42" s="6" t="inlineStr">
        <is>
          <t>Not in statute</t>
        </is>
      </c>
      <c r="F42" s="6" t="inlineStr"/>
      <c r="G42" s="6" t="inlineStr"/>
      <c r="H42" s="6" t="inlineStr">
        <is>
          <t>Not in statute</t>
        </is>
      </c>
      <c r="I42" s="6" t="inlineStr"/>
      <c r="J42" s="6" t="inlineStr"/>
      <c r="K42" s="6" t="inlineStr">
        <is>
          <t>Not in statute</t>
        </is>
      </c>
      <c r="L42" s="6" t="inlineStr">
        <is>
          <t>Not in statute</t>
        </is>
      </c>
      <c r="M42" s="6" t="inlineStr"/>
      <c r="N42" s="6" t="inlineStr">
        <is>
          <t>silent</t>
        </is>
      </c>
      <c r="O42" s="6" t="inlineStr">
        <is>
          <t>Yes</t>
        </is>
      </c>
      <c r="P42" s="6" t="inlineStr">
        <is>
          <t>Yes</t>
        </is>
      </c>
      <c r="Q42" s="6" t="inlineStr">
        <is>
          <t>Yes</t>
        </is>
      </c>
      <c r="R42" s="6" t="inlineStr">
        <is>
          <t>No procedure</t>
        </is>
      </c>
      <c r="S42" s="6" t="inlineStr">
        <is>
          <t>No RO-sample submission or audit/verification procedure. In setting the warranty schedule the manufacturer must rely on the dealer's written schedule of hourly labor rates and parts. It may not require unduly burdensome documentation, including transaction-by-transaction calculations.</t>
        </is>
      </c>
      <c r="T42" s="6" t="inlineStr">
        <is>
          <t>Broader</t>
        </is>
      </c>
      <c r="U42" s="6" t="inlineStr"/>
      <c r="V42" s="6" t="inlineStr">
        <is>
          <t>high</t>
        </is>
      </c>
      <c r="W42" s="6" t="inlineStr">
        <is>
          <t>https://sdlegislature.gov/Statutes/32-6B-58; https://sdlegislature.gov/Statutes/32-6B-58.2; https://sdlegislature.gov/Statutes/32-6B-58.3; https://sdlegislature.gov/Statutes/32-6B-61; https://sdlegislature.gov/Statutes/32-6B-69.1; https://sdlegislature.gov/api/Statutes/32-6B.html?all=true</t>
        </is>
      </c>
      <c r="X42" s="6" t="inlineStr">
        <is>
          <t>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is>
      </c>
    </row>
    <row r="43">
      <c r="A43" s="6" t="inlineStr">
        <is>
          <t>TN</t>
        </is>
      </c>
      <c r="B43" s="6" t="inlineStr">
        <is>
          <t>Tennessee</t>
        </is>
      </c>
      <c r="C43" s="6" t="inlineStr">
        <is>
          <t>Not in statute</t>
        </is>
      </c>
      <c r="D43" s="6" t="inlineStr"/>
      <c r="E43" s="6" t="inlineStr">
        <is>
          <t>Not in statute</t>
        </is>
      </c>
      <c r="F43" s="6" t="inlineStr"/>
      <c r="G43" s="6" t="inlineStr"/>
      <c r="H43" s="6" t="inlineStr">
        <is>
          <t>Not in statute</t>
        </is>
      </c>
      <c r="I43" s="6" t="inlineStr"/>
      <c r="J43" s="6" t="inlineStr"/>
      <c r="K43" s="6" t="inlineStr">
        <is>
          <t>Not in statute</t>
        </is>
      </c>
      <c r="L43" s="6" t="inlineStr">
        <is>
          <t>Not in statute</t>
        </is>
      </c>
      <c r="M43" s="6" t="inlineStr"/>
      <c r="N43" s="6" t="inlineStr">
        <is>
          <t>silent</t>
        </is>
      </c>
      <c r="O43" s="6" t="inlineStr">
        <is>
          <t>Not in statute</t>
        </is>
      </c>
      <c r="P43" s="6" t="inlineStr">
        <is>
          <t>Not in statute</t>
        </is>
      </c>
      <c r="Q43" s="6" t="inlineStr">
        <is>
          <t>Not in statute</t>
        </is>
      </c>
      <c r="R43" s="6" t="inlineStr">
        <is>
          <t>Yes</t>
        </is>
      </c>
      <c r="S43" s="6" t="inlineStr">
        <is>
          <t>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is>
      </c>
      <c r="T43" s="6" t="inlineStr">
        <is>
          <t>Broader</t>
        </is>
      </c>
      <c r="U43" s="6" t="inlineStr"/>
      <c r="V43" s="6" t="inlineStr">
        <is>
          <t>medium</t>
        </is>
      </c>
      <c r="W43" s="6" t="inlineStr">
        <is>
          <t>https://publications.tnsosfiles.com/acts/112/pub/pc0277.pdf; https://law.justia.com/codes/tennessee/title-55/chapter-17/part-1/section-55-17-121/; https://law.justia.com/codes/tennessee/title-55/chapter-17/part-1/section-55-17-114/; https://www.law.cornell.edu/regulations/tennessee/Tenn-Comp-R-Regs-0960-01-.03; https://regulations.justia.com/states/tennessee/title-0960/chapter-0960-01/section-0960-01-03</t>
        </is>
      </c>
      <c r="X43" s="6" t="inlineStr">
        <is>
          <t>The statute has no audit rules, but Motor Vehicle Commission Rule 0960-01-.03 does. Warranty and sales-incentive claims may be reviewed, audited and disallowed only within 12 months after PAYMENT and only for good cause. Incentive chargebacks after a 'full and fair' audit are reduced by any other payment the dealer qualified for. There are no notice, response, appeal, stay, extrapolation, clerical-error or fraud terms. The dealer keeps replaced parts 30 days after submitting the claim unless the franchise agreement says otherwise. Statute: §§ 55-17-114 (all of (c) read) and -121 read on Justia 2025; the official T.C.A. is Lexis-only. Rules read on Cornell LII and Justia (current through 6/26/2025).</t>
        </is>
      </c>
    </row>
    <row r="44">
      <c r="A44" s="6" t="inlineStr">
        <is>
          <t>TX</t>
        </is>
      </c>
      <c r="B44" s="6" t="inlineStr">
        <is>
          <t>Texas</t>
        </is>
      </c>
      <c r="C44" s="6" t="inlineStr">
        <is>
          <t>Not in statute</t>
        </is>
      </c>
      <c r="D44" s="6" t="inlineStr"/>
      <c r="E44" s="6" t="inlineStr">
        <is>
          <t>Not in statute</t>
        </is>
      </c>
      <c r="F44" s="6" t="inlineStr"/>
      <c r="G44" s="6" t="inlineStr"/>
      <c r="H44" s="6" t="inlineStr">
        <is>
          <t>Not in statute</t>
        </is>
      </c>
      <c r="I44" s="6" t="inlineStr"/>
      <c r="J44" s="6" t="inlineStr"/>
      <c r="K44" s="6" t="inlineStr">
        <is>
          <t>Not in statute</t>
        </is>
      </c>
      <c r="L44" s="6" t="inlineStr">
        <is>
          <t>Not in statute</t>
        </is>
      </c>
      <c r="M44" s="6" t="inlineStr">
        <is>
          <t>No chargeback-specific stay. A general statutory stay (§ 2301.803) bars acts affecting a party's rights once the Board gives notice of a stay in a pending complaint/protest proceeding. It is not triggered automatically by a chargeback dispute.</t>
        </is>
      </c>
      <c r="N44" s="6" t="inlineStr">
        <is>
          <t>silent</t>
        </is>
      </c>
      <c r="O44" s="6" t="inlineStr">
        <is>
          <t>Not in statute</t>
        </is>
      </c>
      <c r="P44" s="6" t="inlineStr">
        <is>
          <t>Yes</t>
        </is>
      </c>
      <c r="Q44" s="6" t="inlineStr">
        <is>
          <t>Yes</t>
        </is>
      </c>
      <c r="R44" s="6" t="inlineStr">
        <is>
          <t>Yes</t>
        </is>
      </c>
      <c r="S44" s="6" t="inlineStr">
        <is>
          <t>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is>
      </c>
      <c r="T44" s="6" t="inlineStr">
        <is>
          <t>Broader</t>
        </is>
      </c>
      <c r="U44" s="6" t="inlineStr"/>
      <c r="V44" s="6" t="inlineStr">
        <is>
          <t>high</t>
        </is>
      </c>
      <c r="W44" s="6" t="inlineStr">
        <is>
          <t>https://statutes.capitol.texas.gov/Docs/OC/htm/OC.2301.htm; https://tcss.legis.texas.gov/resources/OC/htm/OC.2301.htm</t>
        </is>
      </c>
      <c r="X44" s="6" t="inlineStr">
        <is>
          <t>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is>
      </c>
    </row>
    <row r="45">
      <c r="A45" s="6" t="inlineStr">
        <is>
          <t>UT</t>
        </is>
      </c>
      <c r="B45" s="6" t="inlineStr">
        <is>
          <t>Utah</t>
        </is>
      </c>
      <c r="C45" s="6" t="inlineStr">
        <is>
          <t>Not in statute</t>
        </is>
      </c>
      <c r="D45" s="6" t="inlineStr"/>
      <c r="E45" s="6" t="inlineStr">
        <is>
          <t>Not in statute</t>
        </is>
      </c>
      <c r="F45" s="6" t="inlineStr"/>
      <c r="G45" s="6" t="inlineStr"/>
      <c r="H45" s="6" t="inlineStr">
        <is>
          <t>Yes</t>
        </is>
      </c>
      <c r="I45" s="6" t="n">
        <v>30</v>
      </c>
      <c r="J45" s="6" t="inlineStr">
        <is>
          <t>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is>
      </c>
      <c r="K45" s="6" t="inlineStr">
        <is>
          <t>Not in statute</t>
        </is>
      </c>
      <c r="L45" s="6" t="inlineStr">
        <is>
          <t>Yes</t>
        </is>
      </c>
      <c r="M45" s="6" t="inlineStr">
        <is>
          <t>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is>
      </c>
      <c r="N45" s="6" t="inlineStr">
        <is>
          <t>prohibited</t>
        </is>
      </c>
      <c r="O45" s="6" t="inlineStr">
        <is>
          <t>Yes</t>
        </is>
      </c>
      <c r="P45" s="6" t="inlineStr">
        <is>
          <t>Yes</t>
        </is>
      </c>
      <c r="Q45" s="6" t="inlineStr">
        <is>
          <t>Yes</t>
        </is>
      </c>
      <c r="R45" s="6" t="inlineStr">
        <is>
          <t>Yes</t>
        </is>
      </c>
      <c r="S45" s="6" t="inlineStr">
        <is>
          <t>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is>
      </c>
      <c r="T45" s="6" t="inlineStr">
        <is>
          <t>Broader</t>
        </is>
      </c>
      <c r="U45" s="6" t="inlineStr">
        <is>
          <t>Audit chargebacks go to mandatory mediation, then binding arbitration, with costs shared equally. The franchisor cannot require the dealer to waive these protections (§ 201(1)(gg)(ii)).</t>
        </is>
      </c>
      <c r="V45" s="6" t="inlineStr">
        <is>
          <t>high</t>
        </is>
      </c>
      <c r="W45" s="6" t="inlineStr">
        <is>
          <t>https://le.utah.gov/xcode/Title13/Chapter14/C13-14-S204_2023050320230503.html; https://le.utah.gov/xcode/Title13/Chapter14/C13-14-S201_2025050720250507.html; https://le.utah.gov/Session/2025/bills/enrolled/HB0516.pdf</t>
        </is>
      </c>
      <c r="X45" s="6" t="inlineStr">
        <is>
          <t>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is>
      </c>
    </row>
    <row r="46">
      <c r="A46" s="6" t="inlineStr">
        <is>
          <t>VA</t>
        </is>
      </c>
      <c r="B46" s="6" t="inlineStr">
        <is>
          <t>Virginia</t>
        </is>
      </c>
      <c r="C46" s="6" t="inlineStr">
        <is>
          <t>Not in statute</t>
        </is>
      </c>
      <c r="D46" s="6" t="inlineStr"/>
      <c r="E46" s="6" t="inlineStr">
        <is>
          <t>Not in statute</t>
        </is>
      </c>
      <c r="F46" s="6" t="inlineStr"/>
      <c r="G46" s="6" t="inlineStr"/>
      <c r="H46" s="6" t="inlineStr">
        <is>
          <t>Not in statute</t>
        </is>
      </c>
      <c r="I46" s="6" t="inlineStr"/>
      <c r="J46" s="6" t="inlineStr">
        <is>
          <t>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is>
      </c>
      <c r="K46" s="6" t="inlineStr">
        <is>
          <t>Not in statute</t>
        </is>
      </c>
      <c r="L46" s="6" t="inlineStr">
        <is>
          <t>Yes</t>
        </is>
      </c>
      <c r="M46" s="6" t="inlineStr">
        <is>
          <t>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is>
      </c>
      <c r="N46" s="6" t="inlineStr">
        <is>
          <t>silent</t>
        </is>
      </c>
      <c r="O46" s="6" t="inlineStr">
        <is>
          <t>Yes</t>
        </is>
      </c>
      <c r="P46" s="6" t="inlineStr">
        <is>
          <t>Yes</t>
        </is>
      </c>
      <c r="Q46" s="6" t="inlineStr">
        <is>
          <t>Yes</t>
        </is>
      </c>
      <c r="R46" s="6" t="inlineStr">
        <is>
          <t>No procedure</t>
        </is>
      </c>
      <c r="S46" s="6" t="inlineStr">
        <is>
          <t>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is>
      </c>
      <c r="T46" s="6" t="inlineStr">
        <is>
          <t>Broader</t>
        </is>
      </c>
      <c r="U46" s="6" t="inlineStr">
        <is>
          <t>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is>
      </c>
      <c r="V46" s="6" t="inlineStr">
        <is>
          <t>high</t>
        </is>
      </c>
      <c r="W46" s="6" t="inlineStr">
        <is>
          <t>https://law.lis.virginia.gov/vacode/title46.2/chapter15/section46.2-1571/; https://law.lis.virginia.gov/vacode/title46.2/chapter15/section46.2-1573/</t>
        </is>
      </c>
      <c r="X46" s="6" t="inlineStr">
        <is>
          <t>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is>
      </c>
    </row>
    <row r="47">
      <c r="A47" s="6" t="inlineStr">
        <is>
          <t>VT</t>
        </is>
      </c>
      <c r="B47" s="6" t="inlineStr">
        <is>
          <t>Vermont</t>
        </is>
      </c>
      <c r="C47" s="6" t="inlineStr">
        <is>
          <t>Not in statute</t>
        </is>
      </c>
      <c r="D47" s="6" t="inlineStr"/>
      <c r="E47" s="6" t="inlineStr">
        <is>
          <t>Not in statute</t>
        </is>
      </c>
      <c r="F47" s="6" t="inlineStr"/>
      <c r="G47" s="6" t="inlineStr"/>
      <c r="H47" s="6" t="inlineStr">
        <is>
          <t>Not in statute</t>
        </is>
      </c>
      <c r="I47" s="6" t="inlineStr"/>
      <c r="J47" s="6" t="inlineStr">
        <is>
          <t>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is>
      </c>
      <c r="K47" s="6" t="inlineStr">
        <is>
          <t>Not in statute</t>
        </is>
      </c>
      <c r="L47" s="6" t="inlineStr">
        <is>
          <t>Yes</t>
        </is>
      </c>
      <c r="M47" s="6" t="inlineStr">
        <is>
          <t>Any chargeback resulting from any audit (warranty or incentive) is stayed until the Transportation Board issues a final order, if the dealer protests within 30 days. Board rules set a hearing within 120 days after the complaint is received and accepted, with no deadline for the decision (CVR 14-010-020 § 7).</t>
        </is>
      </c>
      <c r="N47" s="6" t="inlineStr">
        <is>
          <t>silent</t>
        </is>
      </c>
      <c r="O47" s="6" t="inlineStr">
        <is>
          <t>Not in statute</t>
        </is>
      </c>
      <c r="P47" s="6" t="inlineStr">
        <is>
          <t>Yes</t>
        </is>
      </c>
      <c r="Q47" s="6" t="inlineStr">
        <is>
          <t>Yes</t>
        </is>
      </c>
      <c r="R47" s="6" t="inlineStr">
        <is>
          <t>Yes</t>
        </is>
      </c>
      <c r="S47" s="6" t="inlineStr">
        <is>
          <t>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is>
      </c>
      <c r="T47" s="6" t="inlineStr">
        <is>
          <t>Broader</t>
        </is>
      </c>
      <c r="U47" s="6" t="inlineStr">
        <is>
          <t>The chargeback is held until the Board's final order, and the manufacturer bears the burden of proof in any § 4086 proceeding at the Board.</t>
        </is>
      </c>
      <c r="V47" s="6" t="inlineStr">
        <is>
          <t>high</t>
        </is>
      </c>
      <c r="W47" s="6" t="inlineStr">
        <is>
          <t>https://legislature.vermont.gov/statutes/section/09/108/04086; https://legislature.vermont.gov/statutes/fullchapter/09/108</t>
        </is>
      </c>
      <c r="X47" s="6" t="inlineStr">
        <is>
          <t>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is>
      </c>
    </row>
    <row r="48">
      <c r="A48" s="6" t="inlineStr">
        <is>
          <t>WA</t>
        </is>
      </c>
      <c r="B48" s="6" t="inlineStr">
        <is>
          <t>Washington</t>
        </is>
      </c>
      <c r="C48" s="6" t="inlineStr">
        <is>
          <t>Not in statute</t>
        </is>
      </c>
      <c r="D48" s="6" t="inlineStr"/>
      <c r="E48" s="6" t="inlineStr">
        <is>
          <t>Not in statute</t>
        </is>
      </c>
      <c r="F48" s="6" t="inlineStr"/>
      <c r="G48" s="6" t="inlineStr"/>
      <c r="H48" s="6" t="inlineStr">
        <is>
          <t>Not in statute</t>
        </is>
      </c>
      <c r="I48" s="6" t="inlineStr"/>
      <c r="J48" s="6" t="inlineStr"/>
      <c r="K48" s="6" t="inlineStr">
        <is>
          <t>Not in statute</t>
        </is>
      </c>
      <c r="L48" s="6" t="inlineStr">
        <is>
          <t>Not in statute</t>
        </is>
      </c>
      <c r="M48" s="6" t="inlineStr"/>
      <c r="N48" s="6" t="inlineStr">
        <is>
          <t>silent</t>
        </is>
      </c>
      <c r="O48" s="6" t="inlineStr">
        <is>
          <t>Not in statute</t>
        </is>
      </c>
      <c r="P48" s="6" t="inlineStr">
        <is>
          <t>Not in statute</t>
        </is>
      </c>
      <c r="Q48" s="6" t="inlineStr">
        <is>
          <t>Yes</t>
        </is>
      </c>
      <c r="R48" s="6" t="inlineStr">
        <is>
          <t>No procedure</t>
        </is>
      </c>
      <c r="S48" s="6" t="inlineStr">
        <is>
          <t>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is>
      </c>
      <c r="T48" s="6" t="inlineStr">
        <is>
          <t>Broader</t>
        </is>
      </c>
      <c r="U48" s="6" t="inlineStr"/>
      <c r="V48" s="6" t="inlineStr">
        <is>
          <t>high</t>
        </is>
      </c>
      <c r="W48" s="6" t="inlineStr">
        <is>
          <t>https://app.leg.wa.gov/RCW/default.aspx?cite=46.96.105; https://app.leg.wa.gov/RCW/default.aspx?cite=46.96&amp;full=true</t>
        </is>
      </c>
      <c r="X48" s="6" t="inlineStr">
        <is>
          <t>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is>
      </c>
    </row>
    <row r="49">
      <c r="A49" s="6" t="inlineStr">
        <is>
          <t>WI</t>
        </is>
      </c>
      <c r="B49" s="6" t="inlineStr">
        <is>
          <t>Wisconsin</t>
        </is>
      </c>
      <c r="C49" s="6" t="inlineStr">
        <is>
          <t>Not in statute</t>
        </is>
      </c>
      <c r="D49" s="6" t="inlineStr"/>
      <c r="E49" s="6" t="inlineStr">
        <is>
          <t>Not in statute</t>
        </is>
      </c>
      <c r="F49" s="6" t="inlineStr"/>
      <c r="G49" s="6" t="inlineStr"/>
      <c r="H49" s="6" t="inlineStr">
        <is>
          <t>Not in statute</t>
        </is>
      </c>
      <c r="I49" s="6" t="inlineStr"/>
      <c r="J49" s="6" t="inlineStr"/>
      <c r="K49" s="6" t="inlineStr">
        <is>
          <t>Not in statute</t>
        </is>
      </c>
      <c r="L49" s="6" t="inlineStr">
        <is>
          <t>Not in statute</t>
        </is>
      </c>
      <c r="M49" s="6" t="inlineStr"/>
      <c r="N49" s="6" t="inlineStr">
        <is>
          <t>silent</t>
        </is>
      </c>
      <c r="O49" s="6" t="inlineStr">
        <is>
          <t>Not in statute</t>
        </is>
      </c>
      <c r="P49" s="6" t="inlineStr">
        <is>
          <t>Not in statute</t>
        </is>
      </c>
      <c r="Q49" s="6" t="inlineStr">
        <is>
          <t>Yes</t>
        </is>
      </c>
      <c r="R49" s="6" t="inlineStr">
        <is>
          <t>Yes</t>
        </is>
      </c>
      <c r="S49" s="6" t="inlineStr">
        <is>
          <t>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is>
      </c>
      <c r="T49" s="6" t="inlineStr">
        <is>
          <t>Broader</t>
        </is>
      </c>
      <c r="U49" s="6" t="inlineStr"/>
      <c r="V49" s="6" t="inlineStr">
        <is>
          <t>high</t>
        </is>
      </c>
      <c r="W49" s="6" t="inlineStr">
        <is>
          <t>https://docs.legis.wisconsin.gov/statutes/statutes/218/i/0125; https://docs.legis.wisconsin.gov/statutes/statutes/218/i/0116</t>
        </is>
      </c>
      <c r="X49" s="6" t="inlineStr">
        <is>
          <t>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is>
      </c>
    </row>
    <row r="50">
      <c r="A50" s="6" t="inlineStr">
        <is>
          <t>WV</t>
        </is>
      </c>
      <c r="B50" s="6" t="inlineStr">
        <is>
          <t>West Virginia</t>
        </is>
      </c>
      <c r="C50" s="6" t="inlineStr">
        <is>
          <t>Not in statute</t>
        </is>
      </c>
      <c r="D50" s="6" t="inlineStr"/>
      <c r="E50" s="6" t="inlineStr">
        <is>
          <t>Not in statute</t>
        </is>
      </c>
      <c r="F50" s="6" t="inlineStr"/>
      <c r="G50" s="6" t="inlineStr"/>
      <c r="H50" s="6" t="inlineStr">
        <is>
          <t>Not in statute</t>
        </is>
      </c>
      <c r="I50" s="6" t="n">
        <v>30</v>
      </c>
      <c r="J50" s="6" t="inlineStr">
        <is>
          <t>No chargeback until the dealer has had notice and a chance to support the claim within 30 days of receiving the chargeback notice (§ 10(b)(19)). The dealer also has 30 days to respond to any audit (§ 8a(k)).</t>
        </is>
      </c>
      <c r="K50" s="6" t="inlineStr">
        <is>
          <t>Not in statute</t>
        </is>
      </c>
      <c r="L50" s="6" t="inlineStr">
        <is>
          <t>Not in statute</t>
        </is>
      </c>
      <c r="M50" s="6" t="inlineStr"/>
      <c r="N50" s="6" t="inlineStr">
        <is>
          <t>silent</t>
        </is>
      </c>
      <c r="O50" s="6" t="inlineStr">
        <is>
          <t>Yes</t>
        </is>
      </c>
      <c r="P50" s="6" t="inlineStr">
        <is>
          <t>Yes</t>
        </is>
      </c>
      <c r="Q50" s="6" t="inlineStr">
        <is>
          <t>Yes</t>
        </is>
      </c>
      <c r="R50" s="6" t="inlineStr">
        <is>
          <t>Yes</t>
        </is>
      </c>
      <c r="S50" s="6" t="inlineStr">
        <is>
          <t>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is>
      </c>
      <c r="T50" s="6" t="inlineStr">
        <is>
          <t>Broader</t>
        </is>
      </c>
      <c r="U50" s="6" t="inlineStr">
        <is>
          <t>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is>
      </c>
      <c r="V50" s="6" t="inlineStr">
        <is>
          <t>high</t>
        </is>
      </c>
      <c r="W50" s="6" t="inlineStr">
        <is>
          <t>https://code.wvlegislature.gov/17A-6A-8a/; https://code.wvlegislature.gov/17A-6A-10/; https://code.wvlegislature.gov/17A-6A-16/; https://code.wvlegislature.gov/17A-6A-17/</t>
        </is>
      </c>
      <c r="X50" s="6" t="inlineStr">
        <is>
          <t>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is>
      </c>
    </row>
    <row r="51">
      <c r="A51" s="6" t="inlineStr">
        <is>
          <t>WY</t>
        </is>
      </c>
      <c r="B51" s="6" t="inlineStr">
        <is>
          <t>Wyoming</t>
        </is>
      </c>
      <c r="C51" s="6" t="inlineStr">
        <is>
          <t>Not in statute</t>
        </is>
      </c>
      <c r="D51" s="6" t="inlineStr"/>
      <c r="E51" s="6" t="inlineStr">
        <is>
          <t>Not in statute</t>
        </is>
      </c>
      <c r="F51" s="6" t="inlineStr"/>
      <c r="G51" s="6" t="inlineStr"/>
      <c r="H51" s="6" t="inlineStr">
        <is>
          <t>Not in statute</t>
        </is>
      </c>
      <c r="I51" s="6" t="inlineStr"/>
      <c r="J51" s="6" t="inlineStr"/>
      <c r="K51" s="6" t="inlineStr">
        <is>
          <t>Not in statute</t>
        </is>
      </c>
      <c r="L51" s="6" t="inlineStr">
        <is>
          <t>Not in statute</t>
        </is>
      </c>
      <c r="M51" s="6" t="inlineStr"/>
      <c r="N51" s="6" t="inlineStr">
        <is>
          <t>silent</t>
        </is>
      </c>
      <c r="O51" s="6" t="inlineStr">
        <is>
          <t>Not in statute</t>
        </is>
      </c>
      <c r="P51" s="6" t="inlineStr">
        <is>
          <t>Not in statute</t>
        </is>
      </c>
      <c r="Q51" s="6" t="inlineStr">
        <is>
          <t>Yes</t>
        </is>
      </c>
      <c r="R51" s="6" t="inlineStr">
        <is>
          <t>Yes</t>
        </is>
      </c>
      <c r="S51" s="6" t="inlineStr">
        <is>
          <t>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is>
      </c>
      <c r="T51" s="6" t="inlineStr">
        <is>
          <t>Broader</t>
        </is>
      </c>
      <c r="U51" s="6" t="inlineStr"/>
      <c r="V51" s="6" t="inlineStr">
        <is>
          <t>high</t>
        </is>
      </c>
      <c r="W51" s="6" t="inlineStr">
        <is>
          <t>https://wyoleg.gov/statutes/compress/title31.pdf; https://wyoleg.gov/2025/Enroll/SF0106.pdf</t>
        </is>
      </c>
      <c r="X51" s="6" t="inlineStr">
        <is>
          <t>§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is>
      </c>
    </row>
  </sheetData>
  <autoFilter ref="A1:X5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10" customWidth="1" min="3" max="3"/>
    <col width="11" customWidth="1" min="4" max="4"/>
    <col width="7"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34" customWidth="1" min="22" max="22"/>
  </cols>
  <sheetData>
    <row r="1" ht="32" customHeight="1">
      <c r="A1" s="4" t="inlineStr">
        <is>
          <t>State</t>
        </is>
      </c>
      <c r="B1" s="4" t="inlineStr">
        <is>
          <t>Name</t>
        </is>
      </c>
      <c r="C1" s="4" t="inlineStr">
        <is>
          <t>Score (0-100)</t>
        </is>
      </c>
      <c r="D1" s="4" t="inlineStr">
        <is>
          <t>Tier</t>
        </is>
      </c>
      <c r="E1" s="4" t="inlineStr">
        <is>
          <t>Rank</t>
        </is>
      </c>
      <c r="F1" s="4" t="inlineStr">
        <is>
          <t>Chargeback limits (75%, of 75)</t>
        </is>
      </c>
      <c r="G1" s="4" t="inlineStr">
        <is>
          <t>Process and oversight (25%, of 25)</t>
        </is>
      </c>
      <c r="H1" s="4" t="inlineStr">
        <is>
          <t>Short audit and chargeback lookback: level 0-3 (weight 21)</t>
        </is>
      </c>
      <c r="I1" s="4" t="inlineStr">
        <is>
          <t>Limits on extrapolating audit results: level 0-3 (weight 15)</t>
        </is>
      </c>
      <c r="J1" s="4" t="inlineStr">
        <is>
          <t>No fraud carve-out from the time limit: level 0-3 (weight 4)</t>
        </is>
      </c>
      <c r="K1" s="4" t="inlineStr">
        <is>
          <t>No chargebacks for clerical or paperwork errors: level 0-3 (weight 12)</t>
        </is>
      </c>
      <c r="L1" s="4" t="inlineStr">
        <is>
          <t>Limits on documentation requirements: level 0-3 (weight 8)</t>
        </is>
      </c>
      <c r="M1" s="4" t="inlineStr">
        <is>
          <t>Chargeback held while the dealer appeals: level 0-3 (weight 15)</t>
        </is>
      </c>
      <c r="N1" s="4" t="inlineStr">
        <is>
          <t>Advance written notice of audit: level 0-3 (weight 3)</t>
        </is>
      </c>
      <c r="O1" s="4" t="inlineStr">
        <is>
          <t>Must tell the dealer why it was selected: level 0-3 (weight 3)</t>
        </is>
      </c>
      <c r="P1" s="4" t="inlineStr">
        <is>
          <t>Written reasons required before a chargeback: level 0-3 (weight 3)</t>
        </is>
      </c>
      <c r="Q1" s="4" t="inlineStr">
        <is>
          <t>Dealer response or cure period: level 0-3 (weight 3)</t>
        </is>
      </c>
      <c r="R1" s="4" t="inlineStr">
        <is>
          <t>Internal appeal required: level 0-3 (weight 3)</t>
        </is>
      </c>
      <c r="S1" s="4" t="inlineStr">
        <is>
          <t>Cap on how often audits can occur: level 0-3 (weight 3)</t>
        </is>
      </c>
      <c r="T1" s="4" t="inlineStr">
        <is>
          <t>Rate validation limited to the dealer's submission: level 0-3 (weight 3)</t>
        </is>
      </c>
      <c r="U1" s="4" t="inlineStr">
        <is>
          <t>Specific consequence for improper audits: level 0-3 (weight 4)</t>
        </is>
      </c>
      <c r="V1" s="4" t="inlineStr">
        <is>
          <t>Flagged state</t>
        </is>
      </c>
    </row>
    <row r="2">
      <c r="A2" s="6" t="inlineStr">
        <is>
          <t>AK</t>
        </is>
      </c>
      <c r="B2" s="6" t="inlineStr">
        <is>
          <t>Alaska</t>
        </is>
      </c>
      <c r="C2" s="6" t="n">
        <v>10</v>
      </c>
      <c r="D2" s="6" t="inlineStr">
        <is>
          <t>Low</t>
        </is>
      </c>
      <c r="E2" s="6" t="n">
        <v>47</v>
      </c>
      <c r="F2" s="6" t="n">
        <v>7</v>
      </c>
      <c r="G2" s="6" t="n">
        <v>3</v>
      </c>
      <c r="H2" s="6" t="n">
        <v>1</v>
      </c>
      <c r="I2" s="6" t="n">
        <v>0</v>
      </c>
      <c r="J2" s="6" t="n">
        <v>0</v>
      </c>
      <c r="K2" s="6" t="n">
        <v>0</v>
      </c>
      <c r="L2" s="6" t="n">
        <v>0</v>
      </c>
      <c r="M2" s="6" t="n">
        <v>0</v>
      </c>
      <c r="N2" s="6" t="n">
        <v>0</v>
      </c>
      <c r="O2" s="6" t="n">
        <v>0</v>
      </c>
      <c r="P2" s="6" t="n">
        <v>0</v>
      </c>
      <c r="Q2" s="6" t="n">
        <v>0</v>
      </c>
      <c r="R2" s="6" t="n">
        <v>0</v>
      </c>
      <c r="S2" s="6" t="n">
        <v>3</v>
      </c>
      <c r="T2" s="6" t="n">
        <v>0</v>
      </c>
      <c r="U2" s="6" t="n">
        <v>0</v>
      </c>
      <c r="V2" s="6" t="inlineStr"/>
    </row>
    <row r="3">
      <c r="A3" s="6" t="inlineStr">
        <is>
          <t>AL</t>
        </is>
      </c>
      <c r="B3" s="6" t="inlineStr">
        <is>
          <t>Alabama</t>
        </is>
      </c>
      <c r="C3" s="6" t="n">
        <v>31</v>
      </c>
      <c r="D3" s="6" t="inlineStr">
        <is>
          <t>Elevated</t>
        </is>
      </c>
      <c r="E3" s="6" t="n">
        <v>29</v>
      </c>
      <c r="F3" s="6" t="n">
        <v>31</v>
      </c>
      <c r="G3" s="6" t="n">
        <v>0</v>
      </c>
      <c r="H3" s="6" t="n">
        <v>1</v>
      </c>
      <c r="I3" s="6" t="n">
        <v>0</v>
      </c>
      <c r="J3" s="6" t="n">
        <v>3</v>
      </c>
      <c r="K3" s="6" t="n">
        <v>3</v>
      </c>
      <c r="L3" s="6" t="n">
        <v>3</v>
      </c>
      <c r="M3" s="6" t="n">
        <v>0</v>
      </c>
      <c r="N3" s="6" t="n">
        <v>0</v>
      </c>
      <c r="O3" s="6" t="n">
        <v>0</v>
      </c>
      <c r="P3" s="6" t="n">
        <v>0</v>
      </c>
      <c r="Q3" s="6" t="n">
        <v>0</v>
      </c>
      <c r="R3" s="6" t="n">
        <v>0</v>
      </c>
      <c r="S3" s="6" t="n">
        <v>0</v>
      </c>
      <c r="T3" s="6" t="n">
        <v>0</v>
      </c>
      <c r="U3" s="6" t="n">
        <v>0</v>
      </c>
      <c r="V3" s="6" t="inlineStr"/>
    </row>
    <row r="4">
      <c r="A4" s="6" t="inlineStr">
        <is>
          <t>AR</t>
        </is>
      </c>
      <c r="B4" s="6" t="inlineStr">
        <is>
          <t>Arkansas</t>
        </is>
      </c>
      <c r="C4" s="6" t="n">
        <v>34</v>
      </c>
      <c r="D4" s="6" t="inlineStr">
        <is>
          <t>Elevated</t>
        </is>
      </c>
      <c r="E4" s="6" t="n">
        <v>23</v>
      </c>
      <c r="F4" s="6" t="n">
        <v>34</v>
      </c>
      <c r="G4" s="6" t="n">
        <v>0</v>
      </c>
      <c r="H4" s="6" t="n">
        <v>1</v>
      </c>
      <c r="I4" s="6" t="n">
        <v>0</v>
      </c>
      <c r="J4" s="6" t="n">
        <v>0</v>
      </c>
      <c r="K4" s="6" t="n">
        <v>3</v>
      </c>
      <c r="L4" s="6" t="n">
        <v>0</v>
      </c>
      <c r="M4" s="6" t="n">
        <v>3</v>
      </c>
      <c r="N4" s="6" t="n">
        <v>0</v>
      </c>
      <c r="O4" s="6" t="n">
        <v>0</v>
      </c>
      <c r="P4" s="6" t="n">
        <v>0</v>
      </c>
      <c r="Q4" s="6" t="n">
        <v>0</v>
      </c>
      <c r="R4" s="6" t="n">
        <v>0</v>
      </c>
      <c r="S4" s="6" t="n">
        <v>0</v>
      </c>
      <c r="T4" s="6" t="n">
        <v>0</v>
      </c>
      <c r="U4" s="6" t="n">
        <v>0</v>
      </c>
      <c r="V4" s="6" t="inlineStr"/>
    </row>
    <row r="5">
      <c r="A5" s="6" t="inlineStr">
        <is>
          <t>AZ</t>
        </is>
      </c>
      <c r="B5" s="6" t="inlineStr">
        <is>
          <t>Arizona</t>
        </is>
      </c>
      <c r="C5" s="6" t="n">
        <v>34</v>
      </c>
      <c r="D5" s="6" t="inlineStr">
        <is>
          <t>Elevated</t>
        </is>
      </c>
      <c r="E5" s="6" t="n">
        <v>24</v>
      </c>
      <c r="F5" s="6" t="n">
        <v>34</v>
      </c>
      <c r="G5" s="6" t="n">
        <v>0</v>
      </c>
      <c r="H5" s="6" t="n">
        <v>1</v>
      </c>
      <c r="I5" s="6" t="n">
        <v>0</v>
      </c>
      <c r="J5" s="6" t="n">
        <v>0</v>
      </c>
      <c r="K5" s="6" t="n">
        <v>3</v>
      </c>
      <c r="L5" s="6" t="n">
        <v>0</v>
      </c>
      <c r="M5" s="6" t="n">
        <v>3</v>
      </c>
      <c r="N5" s="6" t="n">
        <v>0</v>
      </c>
      <c r="O5" s="6" t="n">
        <v>0</v>
      </c>
      <c r="P5" s="6" t="n">
        <v>0</v>
      </c>
      <c r="Q5" s="6" t="n">
        <v>0</v>
      </c>
      <c r="R5" s="6" t="n">
        <v>0</v>
      </c>
      <c r="S5" s="6" t="n">
        <v>0</v>
      </c>
      <c r="T5" s="6" t="n">
        <v>0</v>
      </c>
      <c r="U5" s="6" t="n">
        <v>0</v>
      </c>
      <c r="V5" s="6" t="inlineStr"/>
    </row>
    <row r="6">
      <c r="A6" s="6" t="inlineStr">
        <is>
          <t>CA</t>
        </is>
      </c>
      <c r="B6" s="6" t="inlineStr">
        <is>
          <t>California</t>
        </is>
      </c>
      <c r="C6" s="6" t="n">
        <v>72</v>
      </c>
      <c r="D6" s="6" t="inlineStr">
        <is>
          <t>Very high</t>
        </is>
      </c>
      <c r="E6" s="6" t="n">
        <v>2</v>
      </c>
      <c r="F6" s="6" t="n">
        <v>59</v>
      </c>
      <c r="G6" s="6" t="n">
        <v>13</v>
      </c>
      <c r="H6" s="6" t="n">
        <v>2</v>
      </c>
      <c r="I6" s="6" t="n">
        <v>2</v>
      </c>
      <c r="J6" s="6" t="n">
        <v>0</v>
      </c>
      <c r="K6" s="6" t="n">
        <v>3</v>
      </c>
      <c r="L6" s="6" t="n">
        <v>3</v>
      </c>
      <c r="M6" s="6" t="n">
        <v>3</v>
      </c>
      <c r="N6" s="6" t="n">
        <v>0</v>
      </c>
      <c r="O6" s="6" t="n">
        <v>3</v>
      </c>
      <c r="P6" s="6" t="n">
        <v>3</v>
      </c>
      <c r="Q6" s="6" t="n">
        <v>2</v>
      </c>
      <c r="R6" s="6" t="n">
        <v>3</v>
      </c>
      <c r="S6" s="6" t="n">
        <v>2</v>
      </c>
      <c r="T6" s="6" t="n">
        <v>0</v>
      </c>
      <c r="U6" s="6" t="n">
        <v>0</v>
      </c>
      <c r="V6" s="6" t="inlineStr"/>
    </row>
    <row r="7">
      <c r="A7" s="6" t="inlineStr">
        <is>
          <t>CO</t>
        </is>
      </c>
      <c r="B7" s="6" t="inlineStr">
        <is>
          <t>Colorado</t>
        </is>
      </c>
      <c r="C7" s="6" t="n">
        <v>41</v>
      </c>
      <c r="D7" s="6" t="inlineStr">
        <is>
          <t>High</t>
        </is>
      </c>
      <c r="E7" s="6" t="n">
        <v>14</v>
      </c>
      <c r="F7" s="6" t="n">
        <v>37</v>
      </c>
      <c r="G7" s="6" t="n">
        <v>4</v>
      </c>
      <c r="H7" s="6" t="n">
        <v>2</v>
      </c>
      <c r="I7" s="6" t="n">
        <v>0</v>
      </c>
      <c r="J7" s="6" t="n">
        <v>0</v>
      </c>
      <c r="K7" s="6" t="n">
        <v>0</v>
      </c>
      <c r="L7" s="6" t="n">
        <v>3</v>
      </c>
      <c r="M7" s="6" t="n">
        <v>3</v>
      </c>
      <c r="N7" s="6" t="n">
        <v>0</v>
      </c>
      <c r="O7" s="6" t="n">
        <v>0</v>
      </c>
      <c r="P7" s="6" t="n">
        <v>0</v>
      </c>
      <c r="Q7" s="6" t="n">
        <v>0</v>
      </c>
      <c r="R7" s="6" t="n">
        <v>0</v>
      </c>
      <c r="S7" s="6" t="n">
        <v>0</v>
      </c>
      <c r="T7" s="6" t="n">
        <v>0</v>
      </c>
      <c r="U7" s="6" t="n">
        <v>3</v>
      </c>
      <c r="V7" s="6" t="inlineStr"/>
    </row>
    <row r="8">
      <c r="A8" s="6" t="inlineStr">
        <is>
          <t>CT</t>
        </is>
      </c>
      <c r="B8" s="6" t="inlineStr">
        <is>
          <t>Connecticut</t>
        </is>
      </c>
      <c r="C8" s="6" t="n">
        <v>21</v>
      </c>
      <c r="D8" s="6" t="inlineStr">
        <is>
          <t>Moderate</t>
        </is>
      </c>
      <c r="E8" s="6" t="n">
        <v>41</v>
      </c>
      <c r="F8" s="6" t="n">
        <v>19</v>
      </c>
      <c r="G8" s="6" t="n">
        <v>2</v>
      </c>
      <c r="H8" s="6" t="n">
        <v>1</v>
      </c>
      <c r="I8" s="6" t="n">
        <v>0</v>
      </c>
      <c r="J8" s="6" t="n">
        <v>0</v>
      </c>
      <c r="K8" s="6" t="n">
        <v>3</v>
      </c>
      <c r="L8" s="6" t="n">
        <v>0</v>
      </c>
      <c r="M8" s="6" t="n">
        <v>0</v>
      </c>
      <c r="N8" s="6" t="n">
        <v>0</v>
      </c>
      <c r="O8" s="6" t="n">
        <v>0</v>
      </c>
      <c r="P8" s="6" t="n">
        <v>0</v>
      </c>
      <c r="Q8" s="6" t="n">
        <v>2</v>
      </c>
      <c r="R8" s="6" t="n">
        <v>0</v>
      </c>
      <c r="S8" s="6" t="n">
        <v>0</v>
      </c>
      <c r="T8" s="6" t="n">
        <v>0</v>
      </c>
      <c r="U8" s="6" t="n">
        <v>0</v>
      </c>
      <c r="V8" s="6" t="inlineStr">
        <is>
          <t>Yes</t>
        </is>
      </c>
    </row>
    <row r="9">
      <c r="A9" s="6" t="inlineStr">
        <is>
          <t>DE</t>
        </is>
      </c>
      <c r="B9" s="6" t="inlineStr">
        <is>
          <t>Delaware</t>
        </is>
      </c>
      <c r="C9" s="6" t="n">
        <v>41</v>
      </c>
      <c r="D9" s="6" t="inlineStr">
        <is>
          <t>High</t>
        </is>
      </c>
      <c r="E9" s="6" t="n">
        <v>15</v>
      </c>
      <c r="F9" s="6" t="n">
        <v>41</v>
      </c>
      <c r="G9" s="6" t="n">
        <v>0</v>
      </c>
      <c r="H9" s="6" t="n">
        <v>3</v>
      </c>
      <c r="I9" s="6" t="n">
        <v>0</v>
      </c>
      <c r="J9" s="6" t="n">
        <v>0</v>
      </c>
      <c r="K9" s="6" t="n">
        <v>3</v>
      </c>
      <c r="L9" s="6" t="n">
        <v>3</v>
      </c>
      <c r="M9" s="6" t="n">
        <v>0</v>
      </c>
      <c r="N9" s="6" t="n">
        <v>0</v>
      </c>
      <c r="O9" s="6" t="n">
        <v>0</v>
      </c>
      <c r="P9" s="6" t="n">
        <v>0</v>
      </c>
      <c r="Q9" s="6" t="n">
        <v>0</v>
      </c>
      <c r="R9" s="6" t="n">
        <v>0</v>
      </c>
      <c r="S9" s="6" t="n">
        <v>0</v>
      </c>
      <c r="T9" s="6" t="n">
        <v>0</v>
      </c>
      <c r="U9" s="6" t="n">
        <v>0</v>
      </c>
      <c r="V9" s="6" t="inlineStr"/>
    </row>
    <row r="10">
      <c r="A10" s="6" t="inlineStr">
        <is>
          <t>FL</t>
        </is>
      </c>
      <c r="B10" s="6" t="inlineStr">
        <is>
          <t>Florida</t>
        </is>
      </c>
      <c r="C10" s="6" t="n">
        <v>64</v>
      </c>
      <c r="D10" s="6" t="inlineStr">
        <is>
          <t>Very high</t>
        </is>
      </c>
      <c r="E10" s="6" t="n">
        <v>3</v>
      </c>
      <c r="F10" s="6" t="n">
        <v>46</v>
      </c>
      <c r="G10" s="6" t="n">
        <v>18</v>
      </c>
      <c r="H10" s="6" t="n">
        <v>1</v>
      </c>
      <c r="I10" s="6" t="n">
        <v>0</v>
      </c>
      <c r="J10" s="6" t="n">
        <v>3</v>
      </c>
      <c r="K10" s="6" t="n">
        <v>3</v>
      </c>
      <c r="L10" s="6" t="n">
        <v>3</v>
      </c>
      <c r="M10" s="6" t="n">
        <v>3</v>
      </c>
      <c r="N10" s="6" t="n">
        <v>0</v>
      </c>
      <c r="O10" s="6" t="n">
        <v>3</v>
      </c>
      <c r="P10" s="6" t="n">
        <v>3</v>
      </c>
      <c r="Q10" s="6" t="n">
        <v>2</v>
      </c>
      <c r="R10" s="6" t="n">
        <v>0</v>
      </c>
      <c r="S10" s="6" t="n">
        <v>3</v>
      </c>
      <c r="T10" s="6" t="n">
        <v>3</v>
      </c>
      <c r="U10" s="6" t="n">
        <v>3</v>
      </c>
      <c r="V10" s="6" t="inlineStr"/>
    </row>
    <row r="11">
      <c r="A11" s="6" t="inlineStr">
        <is>
          <t>GA</t>
        </is>
      </c>
      <c r="B11" s="6" t="inlineStr">
        <is>
          <t>Georgia</t>
        </is>
      </c>
      <c r="C11" s="6" t="n">
        <v>44</v>
      </c>
      <c r="D11" s="6" t="inlineStr">
        <is>
          <t>High</t>
        </is>
      </c>
      <c r="E11" s="6" t="n">
        <v>11</v>
      </c>
      <c r="F11" s="6" t="n">
        <v>42</v>
      </c>
      <c r="G11" s="6" t="n">
        <v>2</v>
      </c>
      <c r="H11" s="6" t="n">
        <v>1</v>
      </c>
      <c r="I11" s="6" t="n">
        <v>0</v>
      </c>
      <c r="J11" s="6" t="n">
        <v>0</v>
      </c>
      <c r="K11" s="6" t="n">
        <v>3</v>
      </c>
      <c r="L11" s="6" t="n">
        <v>3</v>
      </c>
      <c r="M11" s="6" t="n">
        <v>3</v>
      </c>
      <c r="N11" s="6" t="n">
        <v>0</v>
      </c>
      <c r="O11" s="6" t="n">
        <v>0</v>
      </c>
      <c r="P11" s="6" t="n">
        <v>0</v>
      </c>
      <c r="Q11" s="6" t="n">
        <v>2</v>
      </c>
      <c r="R11" s="6" t="n">
        <v>0</v>
      </c>
      <c r="S11" s="6" t="n">
        <v>0</v>
      </c>
      <c r="T11" s="6" t="n">
        <v>0</v>
      </c>
      <c r="U11" s="6" t="n">
        <v>0</v>
      </c>
      <c r="V11" s="6" t="inlineStr"/>
    </row>
    <row r="12">
      <c r="A12" s="6" t="inlineStr">
        <is>
          <t>HI</t>
        </is>
      </c>
      <c r="B12" s="6" t="inlineStr">
        <is>
          <t>Hawaii</t>
        </is>
      </c>
      <c r="C12" s="6" t="n">
        <v>35</v>
      </c>
      <c r="D12" s="6" t="inlineStr">
        <is>
          <t>Elevated</t>
        </is>
      </c>
      <c r="E12" s="6" t="n">
        <v>21</v>
      </c>
      <c r="F12" s="6" t="n">
        <v>30</v>
      </c>
      <c r="G12" s="6" t="n">
        <v>5</v>
      </c>
      <c r="H12" s="6" t="n">
        <v>1</v>
      </c>
      <c r="I12" s="6" t="n">
        <v>0</v>
      </c>
      <c r="J12" s="6" t="n">
        <v>0</v>
      </c>
      <c r="K12" s="6" t="n">
        <v>0</v>
      </c>
      <c r="L12" s="6" t="n">
        <v>3</v>
      </c>
      <c r="M12" s="6" t="n">
        <v>3</v>
      </c>
      <c r="N12" s="6" t="n">
        <v>0</v>
      </c>
      <c r="O12" s="6" t="n">
        <v>0</v>
      </c>
      <c r="P12" s="6" t="n">
        <v>3</v>
      </c>
      <c r="Q12" s="6" t="n">
        <v>2</v>
      </c>
      <c r="R12" s="6" t="n">
        <v>0</v>
      </c>
      <c r="S12" s="6" t="n">
        <v>0</v>
      </c>
      <c r="T12" s="6" t="n">
        <v>0</v>
      </c>
      <c r="U12" s="6" t="n">
        <v>0</v>
      </c>
      <c r="V12" s="6" t="inlineStr">
        <is>
          <t>Yes</t>
        </is>
      </c>
    </row>
    <row r="13">
      <c r="A13" s="6" t="inlineStr">
        <is>
          <t>IA</t>
        </is>
      </c>
      <c r="B13" s="6" t="inlineStr">
        <is>
          <t>Iowa</t>
        </is>
      </c>
      <c r="C13" s="6" t="n">
        <v>30</v>
      </c>
      <c r="D13" s="6" t="inlineStr">
        <is>
          <t>Elevated</t>
        </is>
      </c>
      <c r="E13" s="6" t="n">
        <v>31</v>
      </c>
      <c r="F13" s="6" t="n">
        <v>27</v>
      </c>
      <c r="G13" s="6" t="n">
        <v>3</v>
      </c>
      <c r="H13" s="6" t="n">
        <v>1</v>
      </c>
      <c r="I13" s="6" t="n">
        <v>0</v>
      </c>
      <c r="J13" s="6" t="n">
        <v>0</v>
      </c>
      <c r="K13" s="6" t="n">
        <v>3</v>
      </c>
      <c r="L13" s="6" t="n">
        <v>3</v>
      </c>
      <c r="M13" s="6" t="n">
        <v>0</v>
      </c>
      <c r="N13" s="6" t="n">
        <v>0</v>
      </c>
      <c r="O13" s="6" t="n">
        <v>0</v>
      </c>
      <c r="P13" s="6" t="n">
        <v>0</v>
      </c>
      <c r="Q13" s="6" t="n">
        <v>0</v>
      </c>
      <c r="R13" s="6" t="n">
        <v>0</v>
      </c>
      <c r="S13" s="6" t="n">
        <v>0</v>
      </c>
      <c r="T13" s="6" t="n">
        <v>3</v>
      </c>
      <c r="U13" s="6" t="n">
        <v>0</v>
      </c>
      <c r="V13" s="6" t="inlineStr"/>
    </row>
    <row r="14">
      <c r="A14" s="6" t="inlineStr">
        <is>
          <t>ID</t>
        </is>
      </c>
      <c r="B14" s="6" t="inlineStr">
        <is>
          <t>Idaho</t>
        </is>
      </c>
      <c r="C14" s="6" t="n">
        <v>29</v>
      </c>
      <c r="D14" s="6" t="inlineStr">
        <is>
          <t>Moderate</t>
        </is>
      </c>
      <c r="E14" s="6" t="n">
        <v>36</v>
      </c>
      <c r="F14" s="6" t="n">
        <v>27</v>
      </c>
      <c r="G14" s="6" t="n">
        <v>2</v>
      </c>
      <c r="H14" s="6" t="n">
        <v>1</v>
      </c>
      <c r="I14" s="6" t="n">
        <v>0</v>
      </c>
      <c r="J14" s="6" t="n">
        <v>0</v>
      </c>
      <c r="K14" s="6" t="n">
        <v>3</v>
      </c>
      <c r="L14" s="6" t="n">
        <v>3</v>
      </c>
      <c r="M14" s="6" t="n">
        <v>0</v>
      </c>
      <c r="N14" s="6" t="n">
        <v>0</v>
      </c>
      <c r="O14" s="6" t="n">
        <v>0</v>
      </c>
      <c r="P14" s="6" t="n">
        <v>0</v>
      </c>
      <c r="Q14" s="6" t="n">
        <v>2</v>
      </c>
      <c r="R14" s="6" t="n">
        <v>0</v>
      </c>
      <c r="S14" s="6" t="n">
        <v>0</v>
      </c>
      <c r="T14" s="6" t="n">
        <v>0</v>
      </c>
      <c r="U14" s="6" t="n">
        <v>0</v>
      </c>
      <c r="V14" s="6" t="inlineStr"/>
    </row>
    <row r="15">
      <c r="A15" s="6" t="inlineStr">
        <is>
          <t>IL</t>
        </is>
      </c>
      <c r="B15" s="6" t="inlineStr">
        <is>
          <t>Illinois</t>
        </is>
      </c>
      <c r="C15" s="6" t="n">
        <v>30</v>
      </c>
      <c r="D15" s="6" t="inlineStr">
        <is>
          <t>Elevated</t>
        </is>
      </c>
      <c r="E15" s="6" t="n">
        <v>32</v>
      </c>
      <c r="F15" s="6" t="n">
        <v>27</v>
      </c>
      <c r="G15" s="6" t="n">
        <v>3</v>
      </c>
      <c r="H15" s="6" t="n">
        <v>1</v>
      </c>
      <c r="I15" s="6" t="n">
        <v>0</v>
      </c>
      <c r="J15" s="6" t="n">
        <v>0</v>
      </c>
      <c r="K15" s="6" t="n">
        <v>3</v>
      </c>
      <c r="L15" s="6" t="n">
        <v>3</v>
      </c>
      <c r="M15" s="6" t="n">
        <v>0</v>
      </c>
      <c r="N15" s="6" t="n">
        <v>0</v>
      </c>
      <c r="O15" s="6" t="n">
        <v>0</v>
      </c>
      <c r="P15" s="6" t="n">
        <v>0</v>
      </c>
      <c r="Q15" s="6" t="n">
        <v>0</v>
      </c>
      <c r="R15" s="6" t="n">
        <v>0</v>
      </c>
      <c r="S15" s="6" t="n">
        <v>0</v>
      </c>
      <c r="T15" s="6" t="n">
        <v>3</v>
      </c>
      <c r="U15" s="6" t="n">
        <v>0</v>
      </c>
      <c r="V15" s="6" t="inlineStr"/>
    </row>
    <row r="16">
      <c r="A16" s="6" t="inlineStr">
        <is>
          <t>IN</t>
        </is>
      </c>
      <c r="B16" s="6" t="inlineStr">
        <is>
          <t>Indiana</t>
        </is>
      </c>
      <c r="C16" s="6" t="n">
        <v>35</v>
      </c>
      <c r="D16" s="6" t="inlineStr">
        <is>
          <t>Elevated</t>
        </is>
      </c>
      <c r="E16" s="6" t="n">
        <v>22</v>
      </c>
      <c r="F16" s="6" t="n">
        <v>27</v>
      </c>
      <c r="G16" s="6" t="n">
        <v>8</v>
      </c>
      <c r="H16" s="6" t="n">
        <v>1</v>
      </c>
      <c r="I16" s="6" t="n">
        <v>0</v>
      </c>
      <c r="J16" s="6" t="n">
        <v>0</v>
      </c>
      <c r="K16" s="6" t="n">
        <v>3</v>
      </c>
      <c r="L16" s="6" t="n">
        <v>3</v>
      </c>
      <c r="M16" s="6" t="n">
        <v>0</v>
      </c>
      <c r="N16" s="6" t="n">
        <v>0</v>
      </c>
      <c r="O16" s="6" t="n">
        <v>0</v>
      </c>
      <c r="P16" s="6" t="n">
        <v>3</v>
      </c>
      <c r="Q16" s="6" t="n">
        <v>2</v>
      </c>
      <c r="R16" s="6" t="n">
        <v>3</v>
      </c>
      <c r="S16" s="6" t="n">
        <v>0</v>
      </c>
      <c r="T16" s="6" t="n">
        <v>0</v>
      </c>
      <c r="U16" s="6" t="n">
        <v>0</v>
      </c>
      <c r="V16" s="6" t="inlineStr"/>
    </row>
    <row r="17">
      <c r="A17" s="6" t="inlineStr">
        <is>
          <t>KS</t>
        </is>
      </c>
      <c r="B17" s="6" t="inlineStr">
        <is>
          <t>Kansas</t>
        </is>
      </c>
      <c r="C17" s="6" t="n">
        <v>45</v>
      </c>
      <c r="D17" s="6" t="inlineStr">
        <is>
          <t>High</t>
        </is>
      </c>
      <c r="E17" s="6" t="n">
        <v>9</v>
      </c>
      <c r="F17" s="6" t="n">
        <v>42</v>
      </c>
      <c r="G17" s="6" t="n">
        <v>3</v>
      </c>
      <c r="H17" s="6" t="n">
        <v>1</v>
      </c>
      <c r="I17" s="6" t="n">
        <v>0</v>
      </c>
      <c r="J17" s="6" t="n">
        <v>0</v>
      </c>
      <c r="K17" s="6" t="n">
        <v>3</v>
      </c>
      <c r="L17" s="6" t="n">
        <v>3</v>
      </c>
      <c r="M17" s="6" t="n">
        <v>3</v>
      </c>
      <c r="N17" s="6" t="n">
        <v>0</v>
      </c>
      <c r="O17" s="6" t="n">
        <v>0</v>
      </c>
      <c r="P17" s="6" t="n">
        <v>0</v>
      </c>
      <c r="Q17" s="6" t="n">
        <v>0</v>
      </c>
      <c r="R17" s="6" t="n">
        <v>0</v>
      </c>
      <c r="S17" s="6" t="n">
        <v>0</v>
      </c>
      <c r="T17" s="6" t="n">
        <v>3</v>
      </c>
      <c r="U17" s="6" t="n">
        <v>0</v>
      </c>
      <c r="V17" s="6" t="inlineStr"/>
    </row>
    <row r="18">
      <c r="A18" s="6" t="inlineStr">
        <is>
          <t>KY</t>
        </is>
      </c>
      <c r="B18" s="6" t="inlineStr">
        <is>
          <t>Kentucky</t>
        </is>
      </c>
      <c r="C18" s="6" t="n">
        <v>31</v>
      </c>
      <c r="D18" s="6" t="inlineStr">
        <is>
          <t>Elevated</t>
        </is>
      </c>
      <c r="E18" s="6" t="n">
        <v>30</v>
      </c>
      <c r="F18" s="6" t="n">
        <v>27</v>
      </c>
      <c r="G18" s="6" t="n">
        <v>4</v>
      </c>
      <c r="H18" s="6" t="n">
        <v>1</v>
      </c>
      <c r="I18" s="6" t="n">
        <v>0</v>
      </c>
      <c r="J18" s="6" t="n">
        <v>0</v>
      </c>
      <c r="K18" s="6" t="n">
        <v>3</v>
      </c>
      <c r="L18" s="6" t="n">
        <v>3</v>
      </c>
      <c r="M18" s="6" t="n">
        <v>0</v>
      </c>
      <c r="N18" s="6" t="n">
        <v>0</v>
      </c>
      <c r="O18" s="6" t="n">
        <v>0</v>
      </c>
      <c r="P18" s="6" t="n">
        <v>3</v>
      </c>
      <c r="Q18" s="6" t="n">
        <v>1</v>
      </c>
      <c r="R18" s="6" t="n">
        <v>0</v>
      </c>
      <c r="S18" s="6" t="n">
        <v>0</v>
      </c>
      <c r="T18" s="6" t="n">
        <v>0</v>
      </c>
      <c r="U18" s="6" t="n">
        <v>0</v>
      </c>
      <c r="V18" s="6" t="inlineStr"/>
    </row>
    <row r="19">
      <c r="A19" s="6" t="inlineStr">
        <is>
          <t>LA</t>
        </is>
      </c>
      <c r="B19" s="6" t="inlineStr">
        <is>
          <t>Louisiana</t>
        </is>
      </c>
      <c r="C19" s="6" t="n">
        <v>33</v>
      </c>
      <c r="D19" s="6" t="inlineStr">
        <is>
          <t>Elevated</t>
        </is>
      </c>
      <c r="E19" s="6" t="n">
        <v>25</v>
      </c>
      <c r="F19" s="6" t="n">
        <v>27</v>
      </c>
      <c r="G19" s="6" t="n">
        <v>6</v>
      </c>
      <c r="H19" s="6" t="n">
        <v>1</v>
      </c>
      <c r="I19" s="6" t="n">
        <v>0</v>
      </c>
      <c r="J19" s="6" t="n">
        <v>0</v>
      </c>
      <c r="K19" s="6" t="n">
        <v>3</v>
      </c>
      <c r="L19" s="6" t="n">
        <v>3</v>
      </c>
      <c r="M19" s="6" t="n">
        <v>0</v>
      </c>
      <c r="N19" s="6" t="n">
        <v>0</v>
      </c>
      <c r="O19" s="6" t="n">
        <v>0</v>
      </c>
      <c r="P19" s="6" t="n">
        <v>0</v>
      </c>
      <c r="Q19" s="6" t="n">
        <v>0</v>
      </c>
      <c r="R19" s="6" t="n">
        <v>0</v>
      </c>
      <c r="S19" s="6" t="n">
        <v>2</v>
      </c>
      <c r="T19" s="6" t="n">
        <v>0</v>
      </c>
      <c r="U19" s="6" t="n">
        <v>3</v>
      </c>
      <c r="V19" s="6" t="inlineStr"/>
    </row>
    <row r="20">
      <c r="A20" s="6" t="inlineStr">
        <is>
          <t>MA</t>
        </is>
      </c>
      <c r="B20" s="6" t="inlineStr">
        <is>
          <t>Massachusetts</t>
        </is>
      </c>
      <c r="C20" s="6" t="n">
        <v>40</v>
      </c>
      <c r="D20" s="6" t="inlineStr">
        <is>
          <t>High</t>
        </is>
      </c>
      <c r="E20" s="6" t="n">
        <v>16</v>
      </c>
      <c r="F20" s="6" t="n">
        <v>25</v>
      </c>
      <c r="G20" s="6" t="n">
        <v>15</v>
      </c>
      <c r="H20" s="6" t="n">
        <v>1</v>
      </c>
      <c r="I20" s="6" t="n">
        <v>2</v>
      </c>
      <c r="J20" s="6" t="n">
        <v>0</v>
      </c>
      <c r="K20" s="6" t="n">
        <v>0</v>
      </c>
      <c r="L20" s="6" t="n">
        <v>3</v>
      </c>
      <c r="M20" s="6" t="n">
        <v>0</v>
      </c>
      <c r="N20" s="6" t="n">
        <v>0</v>
      </c>
      <c r="O20" s="6" t="n">
        <v>3</v>
      </c>
      <c r="P20" s="6" t="n">
        <v>3</v>
      </c>
      <c r="Q20" s="6" t="n">
        <v>2</v>
      </c>
      <c r="R20" s="6" t="n">
        <v>0</v>
      </c>
      <c r="S20" s="6" t="n">
        <v>0</v>
      </c>
      <c r="T20" s="6" t="n">
        <v>3</v>
      </c>
      <c r="U20" s="6" t="n">
        <v>3</v>
      </c>
      <c r="V20" s="6" t="inlineStr">
        <is>
          <t>Yes</t>
        </is>
      </c>
    </row>
    <row r="21">
      <c r="A21" s="6" t="inlineStr">
        <is>
          <t>MD</t>
        </is>
      </c>
      <c r="B21" s="6" t="inlineStr">
        <is>
          <t>Maryland</t>
        </is>
      </c>
      <c r="C21" s="6" t="n">
        <v>38</v>
      </c>
      <c r="D21" s="6" t="inlineStr">
        <is>
          <t>Elevated</t>
        </is>
      </c>
      <c r="E21" s="6" t="n">
        <v>19</v>
      </c>
      <c r="F21" s="6" t="n">
        <v>34</v>
      </c>
      <c r="G21" s="6" t="n">
        <v>4</v>
      </c>
      <c r="H21" s="6" t="n">
        <v>2</v>
      </c>
      <c r="I21" s="6" t="n">
        <v>0</v>
      </c>
      <c r="J21" s="6" t="n">
        <v>0</v>
      </c>
      <c r="K21" s="6" t="n">
        <v>3</v>
      </c>
      <c r="L21" s="6" t="n">
        <v>3</v>
      </c>
      <c r="M21" s="6" t="n">
        <v>0</v>
      </c>
      <c r="N21" s="6" t="n">
        <v>0</v>
      </c>
      <c r="O21" s="6" t="n">
        <v>0</v>
      </c>
      <c r="P21" s="6" t="n">
        <v>0</v>
      </c>
      <c r="Q21" s="6" t="n">
        <v>0</v>
      </c>
      <c r="R21" s="6" t="n">
        <v>0</v>
      </c>
      <c r="S21" s="6" t="n">
        <v>0</v>
      </c>
      <c r="T21" s="6" t="n">
        <v>0</v>
      </c>
      <c r="U21" s="6" t="n">
        <v>3</v>
      </c>
      <c r="V21" s="6" t="inlineStr"/>
    </row>
    <row r="22">
      <c r="A22" s="6" t="inlineStr">
        <is>
          <t>ME</t>
        </is>
      </c>
      <c r="B22" s="6" t="inlineStr">
        <is>
          <t>Maine</t>
        </is>
      </c>
      <c r="C22" s="6" t="n">
        <v>15</v>
      </c>
      <c r="D22" s="6" t="inlineStr">
        <is>
          <t>Low</t>
        </is>
      </c>
      <c r="E22" s="6" t="n">
        <v>43</v>
      </c>
      <c r="F22" s="6" t="n">
        <v>12</v>
      </c>
      <c r="G22" s="6" t="n">
        <v>3</v>
      </c>
      <c r="H22" s="6" t="n">
        <v>0</v>
      </c>
      <c r="I22" s="6" t="n">
        <v>0</v>
      </c>
      <c r="J22" s="6" t="n">
        <v>0</v>
      </c>
      <c r="K22" s="6" t="n">
        <v>3</v>
      </c>
      <c r="L22" s="6" t="n">
        <v>0</v>
      </c>
      <c r="M22" s="6" t="n">
        <v>0</v>
      </c>
      <c r="N22" s="6" t="n">
        <v>0</v>
      </c>
      <c r="O22" s="6" t="n">
        <v>0</v>
      </c>
      <c r="P22" s="6" t="n">
        <v>0</v>
      </c>
      <c r="Q22" s="6" t="n">
        <v>0</v>
      </c>
      <c r="R22" s="6" t="n">
        <v>0</v>
      </c>
      <c r="S22" s="6" t="n">
        <v>0</v>
      </c>
      <c r="T22" s="6" t="n">
        <v>3</v>
      </c>
      <c r="U22" s="6" t="n">
        <v>0</v>
      </c>
      <c r="V22" s="6" t="inlineStr">
        <is>
          <t>Yes</t>
        </is>
      </c>
    </row>
    <row r="23">
      <c r="A23" s="6" t="inlineStr">
        <is>
          <t>MI</t>
        </is>
      </c>
      <c r="B23" s="6" t="inlineStr">
        <is>
          <t>Michigan</t>
        </is>
      </c>
      <c r="C23" s="6" t="n">
        <v>30</v>
      </c>
      <c r="D23" s="6" t="inlineStr">
        <is>
          <t>Elevated</t>
        </is>
      </c>
      <c r="E23" s="6" t="n">
        <v>33</v>
      </c>
      <c r="F23" s="6" t="n">
        <v>19</v>
      </c>
      <c r="G23" s="6" t="n">
        <v>11</v>
      </c>
      <c r="H23" s="6" t="n">
        <v>1</v>
      </c>
      <c r="I23" s="6" t="n">
        <v>0</v>
      </c>
      <c r="J23" s="6" t="n">
        <v>0</v>
      </c>
      <c r="K23" s="6" t="n">
        <v>3</v>
      </c>
      <c r="L23" s="6" t="n">
        <v>0</v>
      </c>
      <c r="M23" s="6" t="n">
        <v>0</v>
      </c>
      <c r="N23" s="6" t="n">
        <v>0</v>
      </c>
      <c r="O23" s="6" t="n">
        <v>3</v>
      </c>
      <c r="P23" s="6" t="n">
        <v>3</v>
      </c>
      <c r="Q23" s="6" t="n">
        <v>2</v>
      </c>
      <c r="R23" s="6" t="n">
        <v>3</v>
      </c>
      <c r="S23" s="6" t="n">
        <v>0</v>
      </c>
      <c r="T23" s="6" t="n">
        <v>0</v>
      </c>
      <c r="U23" s="6" t="n">
        <v>0</v>
      </c>
      <c r="V23" s="6" t="inlineStr"/>
    </row>
    <row r="24">
      <c r="A24" s="6" t="inlineStr">
        <is>
          <t>MN</t>
        </is>
      </c>
      <c r="B24" s="6" t="inlineStr">
        <is>
          <t>Minnesota</t>
        </is>
      </c>
      <c r="C24" s="6" t="n">
        <v>21</v>
      </c>
      <c r="D24" s="6" t="inlineStr">
        <is>
          <t>Moderate</t>
        </is>
      </c>
      <c r="E24" s="6" t="n">
        <v>42</v>
      </c>
      <c r="F24" s="6" t="n">
        <v>19</v>
      </c>
      <c r="G24" s="6" t="n">
        <v>2</v>
      </c>
      <c r="H24" s="6" t="n">
        <v>1</v>
      </c>
      <c r="I24" s="6" t="n">
        <v>0</v>
      </c>
      <c r="J24" s="6" t="n">
        <v>0</v>
      </c>
      <c r="K24" s="6" t="n">
        <v>3</v>
      </c>
      <c r="L24" s="6" t="n">
        <v>0</v>
      </c>
      <c r="M24" s="6" t="n">
        <v>0</v>
      </c>
      <c r="N24" s="6" t="n">
        <v>0</v>
      </c>
      <c r="O24" s="6" t="n">
        <v>0</v>
      </c>
      <c r="P24" s="6" t="n">
        <v>0</v>
      </c>
      <c r="Q24" s="6" t="n">
        <v>2</v>
      </c>
      <c r="R24" s="6" t="n">
        <v>0</v>
      </c>
      <c r="S24" s="6" t="n">
        <v>0</v>
      </c>
      <c r="T24" s="6" t="n">
        <v>0</v>
      </c>
      <c r="U24" s="6" t="n">
        <v>0</v>
      </c>
      <c r="V24" s="6" t="inlineStr"/>
    </row>
    <row r="25">
      <c r="A25" s="6" t="inlineStr">
        <is>
          <t>MO</t>
        </is>
      </c>
      <c r="B25" s="6" t="inlineStr">
        <is>
          <t>Missouri</t>
        </is>
      </c>
      <c r="C25" s="6" t="n">
        <v>37</v>
      </c>
      <c r="D25" s="6" t="inlineStr">
        <is>
          <t>Elevated</t>
        </is>
      </c>
      <c r="E25" s="6" t="n">
        <v>20</v>
      </c>
      <c r="F25" s="6" t="n">
        <v>30</v>
      </c>
      <c r="G25" s="6" t="n">
        <v>7</v>
      </c>
      <c r="H25" s="6" t="n">
        <v>1</v>
      </c>
      <c r="I25" s="6" t="n">
        <v>0</v>
      </c>
      <c r="J25" s="6" t="n">
        <v>0</v>
      </c>
      <c r="K25" s="6" t="n">
        <v>0</v>
      </c>
      <c r="L25" s="6" t="n">
        <v>3</v>
      </c>
      <c r="M25" s="6" t="n">
        <v>3</v>
      </c>
      <c r="N25" s="6" t="n">
        <v>0</v>
      </c>
      <c r="O25" s="6" t="n">
        <v>0</v>
      </c>
      <c r="P25" s="6" t="n">
        <v>3</v>
      </c>
      <c r="Q25" s="6" t="n">
        <v>0</v>
      </c>
      <c r="R25" s="6" t="n">
        <v>0</v>
      </c>
      <c r="S25" s="6" t="n">
        <v>0</v>
      </c>
      <c r="T25" s="6" t="n">
        <v>0</v>
      </c>
      <c r="U25" s="6" t="n">
        <v>3</v>
      </c>
      <c r="V25" s="6" t="inlineStr"/>
    </row>
    <row r="26">
      <c r="A26" s="6" t="inlineStr">
        <is>
          <t>MS</t>
        </is>
      </c>
      <c r="B26" s="6" t="inlineStr">
        <is>
          <t>Mississippi</t>
        </is>
      </c>
      <c r="C26" s="6" t="n">
        <v>27</v>
      </c>
      <c r="D26" s="6" t="inlineStr">
        <is>
          <t>Moderate</t>
        </is>
      </c>
      <c r="E26" s="6" t="n">
        <v>38</v>
      </c>
      <c r="F26" s="6" t="n">
        <v>27</v>
      </c>
      <c r="G26" s="6" t="n">
        <v>0</v>
      </c>
      <c r="H26" s="6" t="n">
        <v>1</v>
      </c>
      <c r="I26" s="6" t="n">
        <v>0</v>
      </c>
      <c r="J26" s="6" t="n">
        <v>0</v>
      </c>
      <c r="K26" s="6" t="n">
        <v>3</v>
      </c>
      <c r="L26" s="6" t="n">
        <v>3</v>
      </c>
      <c r="M26" s="6" t="n">
        <v>0</v>
      </c>
      <c r="N26" s="6" t="n">
        <v>0</v>
      </c>
      <c r="O26" s="6" t="n">
        <v>0</v>
      </c>
      <c r="P26" s="6" t="n">
        <v>0</v>
      </c>
      <c r="Q26" s="6" t="n">
        <v>0</v>
      </c>
      <c r="R26" s="6" t="n">
        <v>0</v>
      </c>
      <c r="S26" s="6" t="n">
        <v>0</v>
      </c>
      <c r="T26" s="6" t="n">
        <v>0</v>
      </c>
      <c r="U26" s="6" t="n">
        <v>0</v>
      </c>
      <c r="V26" s="6" t="inlineStr"/>
    </row>
    <row r="27">
      <c r="A27" s="6" t="inlineStr">
        <is>
          <t>MT</t>
        </is>
      </c>
      <c r="B27" s="6" t="inlineStr">
        <is>
          <t>Montana</t>
        </is>
      </c>
      <c r="C27" s="6" t="n">
        <v>33</v>
      </c>
      <c r="D27" s="6" t="inlineStr">
        <is>
          <t>Elevated</t>
        </is>
      </c>
      <c r="E27" s="6" t="n">
        <v>26</v>
      </c>
      <c r="F27" s="6" t="n">
        <v>27</v>
      </c>
      <c r="G27" s="6" t="n">
        <v>6</v>
      </c>
      <c r="H27" s="6" t="n">
        <v>1</v>
      </c>
      <c r="I27" s="6" t="n">
        <v>0</v>
      </c>
      <c r="J27" s="6" t="n">
        <v>0</v>
      </c>
      <c r="K27" s="6" t="n">
        <v>3</v>
      </c>
      <c r="L27" s="6" t="n">
        <v>3</v>
      </c>
      <c r="M27" s="6" t="n">
        <v>0</v>
      </c>
      <c r="N27" s="6" t="n">
        <v>0</v>
      </c>
      <c r="O27" s="6" t="n">
        <v>0</v>
      </c>
      <c r="P27" s="6" t="n">
        <v>0</v>
      </c>
      <c r="Q27" s="6" t="n">
        <v>3</v>
      </c>
      <c r="R27" s="6" t="n">
        <v>0</v>
      </c>
      <c r="S27" s="6" t="n">
        <v>0</v>
      </c>
      <c r="T27" s="6" t="n">
        <v>3</v>
      </c>
      <c r="U27" s="6" t="n">
        <v>0</v>
      </c>
      <c r="V27" s="6" t="inlineStr"/>
    </row>
    <row r="28">
      <c r="A28" s="6" t="inlineStr">
        <is>
          <t>NC</t>
        </is>
      </c>
      <c r="B28" s="6" t="inlineStr">
        <is>
          <t>North Carolina</t>
        </is>
      </c>
      <c r="C28" s="6" t="n">
        <v>54</v>
      </c>
      <c r="D28" s="6" t="inlineStr">
        <is>
          <t>Very high</t>
        </is>
      </c>
      <c r="E28" s="6" t="n">
        <v>5</v>
      </c>
      <c r="F28" s="6" t="n">
        <v>42</v>
      </c>
      <c r="G28" s="6" t="n">
        <v>12</v>
      </c>
      <c r="H28" s="6" t="n">
        <v>1</v>
      </c>
      <c r="I28" s="6" t="n">
        <v>0</v>
      </c>
      <c r="J28" s="6" t="n">
        <v>0</v>
      </c>
      <c r="K28" s="6" t="n">
        <v>3</v>
      </c>
      <c r="L28" s="6" t="n">
        <v>3</v>
      </c>
      <c r="M28" s="6" t="n">
        <v>3</v>
      </c>
      <c r="N28" s="6" t="n">
        <v>3</v>
      </c>
      <c r="O28" s="6" t="n">
        <v>3</v>
      </c>
      <c r="P28" s="6" t="n">
        <v>0</v>
      </c>
      <c r="Q28" s="6" t="n">
        <v>0</v>
      </c>
      <c r="R28" s="6" t="n">
        <v>0</v>
      </c>
      <c r="S28" s="6" t="n">
        <v>3</v>
      </c>
      <c r="T28" s="6" t="n">
        <v>3</v>
      </c>
      <c r="U28" s="6" t="n">
        <v>0</v>
      </c>
      <c r="V28" s="6" t="inlineStr"/>
    </row>
    <row r="29">
      <c r="A29" s="6" t="inlineStr">
        <is>
          <t>ND</t>
        </is>
      </c>
      <c r="B29" s="6" t="inlineStr">
        <is>
          <t>North Dakota</t>
        </is>
      </c>
      <c r="C29" s="6" t="n">
        <v>15</v>
      </c>
      <c r="D29" s="6" t="inlineStr">
        <is>
          <t>Low</t>
        </is>
      </c>
      <c r="E29" s="6" t="n">
        <v>44</v>
      </c>
      <c r="F29" s="6" t="n">
        <v>15</v>
      </c>
      <c r="G29" s="6" t="n">
        <v>0</v>
      </c>
      <c r="H29" s="6" t="n">
        <v>1</v>
      </c>
      <c r="I29" s="6" t="n">
        <v>0</v>
      </c>
      <c r="J29" s="6" t="n">
        <v>0</v>
      </c>
      <c r="K29" s="6" t="n">
        <v>0</v>
      </c>
      <c r="L29" s="6" t="n">
        <v>3</v>
      </c>
      <c r="M29" s="6" t="n">
        <v>0</v>
      </c>
      <c r="N29" s="6" t="n">
        <v>0</v>
      </c>
      <c r="O29" s="6" t="n">
        <v>0</v>
      </c>
      <c r="P29" s="6" t="n">
        <v>0</v>
      </c>
      <c r="Q29" s="6" t="n">
        <v>0</v>
      </c>
      <c r="R29" s="6" t="n">
        <v>0</v>
      </c>
      <c r="S29" s="6" t="n">
        <v>0</v>
      </c>
      <c r="T29" s="6" t="n">
        <v>0</v>
      </c>
      <c r="U29" s="6" t="n">
        <v>0</v>
      </c>
      <c r="V29" s="6" t="inlineStr"/>
    </row>
    <row r="30">
      <c r="A30" s="6" t="inlineStr">
        <is>
          <t>NE</t>
        </is>
      </c>
      <c r="B30" s="6" t="inlineStr">
        <is>
          <t>Nebraska</t>
        </is>
      </c>
      <c r="C30" s="6" t="n">
        <v>42</v>
      </c>
      <c r="D30" s="6" t="inlineStr">
        <is>
          <t>High</t>
        </is>
      </c>
      <c r="E30" s="6" t="n">
        <v>13</v>
      </c>
      <c r="F30" s="6" t="n">
        <v>42</v>
      </c>
      <c r="G30" s="6" t="n">
        <v>0</v>
      </c>
      <c r="H30" s="6" t="n">
        <v>1</v>
      </c>
      <c r="I30" s="6" t="n">
        <v>0</v>
      </c>
      <c r="J30" s="6" t="n">
        <v>0</v>
      </c>
      <c r="K30" s="6" t="n">
        <v>3</v>
      </c>
      <c r="L30" s="6" t="n">
        <v>3</v>
      </c>
      <c r="M30" s="6" t="n">
        <v>3</v>
      </c>
      <c r="N30" s="6" t="n">
        <v>0</v>
      </c>
      <c r="O30" s="6" t="n">
        <v>0</v>
      </c>
      <c r="P30" s="6" t="n">
        <v>0</v>
      </c>
      <c r="Q30" s="6" t="n">
        <v>0</v>
      </c>
      <c r="R30" s="6" t="n">
        <v>0</v>
      </c>
      <c r="S30" s="6" t="n">
        <v>0</v>
      </c>
      <c r="T30" s="6" t="n">
        <v>0</v>
      </c>
      <c r="U30" s="6" t="n">
        <v>0</v>
      </c>
      <c r="V30" s="6" t="inlineStr"/>
    </row>
    <row r="31">
      <c r="A31" s="6" t="inlineStr">
        <is>
          <t>NH</t>
        </is>
      </c>
      <c r="B31" s="6" t="inlineStr">
        <is>
          <t>New Hampshire</t>
        </is>
      </c>
      <c r="C31" s="6" t="n">
        <v>49</v>
      </c>
      <c r="D31" s="6" t="inlineStr">
        <is>
          <t>High</t>
        </is>
      </c>
      <c r="E31" s="6" t="n">
        <v>7</v>
      </c>
      <c r="F31" s="6" t="n">
        <v>49</v>
      </c>
      <c r="G31" s="6" t="n">
        <v>0</v>
      </c>
      <c r="H31" s="6" t="n">
        <v>2</v>
      </c>
      <c r="I31" s="6" t="n">
        <v>0</v>
      </c>
      <c r="J31" s="6" t="n">
        <v>0</v>
      </c>
      <c r="K31" s="6" t="n">
        <v>3</v>
      </c>
      <c r="L31" s="6" t="n">
        <v>3</v>
      </c>
      <c r="M31" s="6" t="n">
        <v>3</v>
      </c>
      <c r="N31" s="6" t="n">
        <v>0</v>
      </c>
      <c r="O31" s="6" t="n">
        <v>0</v>
      </c>
      <c r="P31" s="6" t="n">
        <v>0</v>
      </c>
      <c r="Q31" s="6" t="n">
        <v>0</v>
      </c>
      <c r="R31" s="6" t="n">
        <v>0</v>
      </c>
      <c r="S31" s="6" t="n">
        <v>0</v>
      </c>
      <c r="T31" s="6" t="n">
        <v>0</v>
      </c>
      <c r="U31" s="6" t="n">
        <v>0</v>
      </c>
      <c r="V31" s="6" t="inlineStr">
        <is>
          <t>Yes</t>
        </is>
      </c>
    </row>
    <row r="32">
      <c r="A32" s="6" t="inlineStr">
        <is>
          <t>NJ</t>
        </is>
      </c>
      <c r="B32" s="6" t="inlineStr">
        <is>
          <t>New Jersey</t>
        </is>
      </c>
      <c r="C32" s="6" t="n">
        <v>51</v>
      </c>
      <c r="D32" s="6" t="inlineStr">
        <is>
          <t>Very high</t>
        </is>
      </c>
      <c r="E32" s="6" t="n">
        <v>6</v>
      </c>
      <c r="F32" s="6" t="n">
        <v>42</v>
      </c>
      <c r="G32" s="6" t="n">
        <v>9</v>
      </c>
      <c r="H32" s="6" t="n">
        <v>1</v>
      </c>
      <c r="I32" s="6" t="n">
        <v>0</v>
      </c>
      <c r="J32" s="6" t="n">
        <v>0</v>
      </c>
      <c r="K32" s="6" t="n">
        <v>3</v>
      </c>
      <c r="L32" s="6" t="n">
        <v>3</v>
      </c>
      <c r="M32" s="6" t="n">
        <v>3</v>
      </c>
      <c r="N32" s="6" t="n">
        <v>0</v>
      </c>
      <c r="O32" s="6" t="n">
        <v>3</v>
      </c>
      <c r="P32" s="6" t="n">
        <v>3</v>
      </c>
      <c r="Q32" s="6" t="n">
        <v>0</v>
      </c>
      <c r="R32" s="6" t="n">
        <v>0</v>
      </c>
      <c r="S32" s="6" t="n">
        <v>0</v>
      </c>
      <c r="T32" s="6" t="n">
        <v>3</v>
      </c>
      <c r="U32" s="6" t="n">
        <v>0</v>
      </c>
      <c r="V32" s="6" t="inlineStr">
        <is>
          <t>Yes (northern counties only)</t>
        </is>
      </c>
    </row>
    <row r="33">
      <c r="A33" s="6" t="inlineStr">
        <is>
          <t>NM</t>
        </is>
      </c>
      <c r="B33" s="6" t="inlineStr">
        <is>
          <t>New Mexico</t>
        </is>
      </c>
      <c r="C33" s="6" t="n">
        <v>44</v>
      </c>
      <c r="D33" s="6" t="inlineStr">
        <is>
          <t>High</t>
        </is>
      </c>
      <c r="E33" s="6" t="n">
        <v>12</v>
      </c>
      <c r="F33" s="6" t="n">
        <v>41</v>
      </c>
      <c r="G33" s="6" t="n">
        <v>3</v>
      </c>
      <c r="H33" s="6" t="n">
        <v>3</v>
      </c>
      <c r="I33" s="6" t="n">
        <v>0</v>
      </c>
      <c r="J33" s="6" t="n">
        <v>0</v>
      </c>
      <c r="K33" s="6" t="n">
        <v>3</v>
      </c>
      <c r="L33" s="6" t="n">
        <v>3</v>
      </c>
      <c r="M33" s="6" t="n">
        <v>0</v>
      </c>
      <c r="N33" s="6" t="n">
        <v>0</v>
      </c>
      <c r="O33" s="6" t="n">
        <v>0</v>
      </c>
      <c r="P33" s="6" t="n">
        <v>0</v>
      </c>
      <c r="Q33" s="6" t="n">
        <v>3</v>
      </c>
      <c r="R33" s="6" t="n">
        <v>0</v>
      </c>
      <c r="S33" s="6" t="n">
        <v>0</v>
      </c>
      <c r="T33" s="6" t="n">
        <v>0</v>
      </c>
      <c r="U33" s="6" t="n">
        <v>0</v>
      </c>
      <c r="V33" s="6" t="inlineStr"/>
    </row>
    <row r="34">
      <c r="A34" s="6" t="inlineStr">
        <is>
          <t>NV</t>
        </is>
      </c>
      <c r="B34" s="6" t="inlineStr">
        <is>
          <t>Nevada</t>
        </is>
      </c>
      <c r="C34" s="6" t="n">
        <v>40</v>
      </c>
      <c r="D34" s="6" t="inlineStr">
        <is>
          <t>High</t>
        </is>
      </c>
      <c r="E34" s="6" t="n">
        <v>17</v>
      </c>
      <c r="F34" s="6" t="n">
        <v>34</v>
      </c>
      <c r="G34" s="6" t="n">
        <v>6</v>
      </c>
      <c r="H34" s="6" t="n">
        <v>2</v>
      </c>
      <c r="I34" s="6" t="n">
        <v>0</v>
      </c>
      <c r="J34" s="6" t="n">
        <v>0</v>
      </c>
      <c r="K34" s="6" t="n">
        <v>3</v>
      </c>
      <c r="L34" s="6" t="n">
        <v>3</v>
      </c>
      <c r="M34" s="6" t="n">
        <v>0</v>
      </c>
      <c r="N34" s="6" t="n">
        <v>0</v>
      </c>
      <c r="O34" s="6" t="n">
        <v>0</v>
      </c>
      <c r="P34" s="6" t="n">
        <v>0</v>
      </c>
      <c r="Q34" s="6" t="n">
        <v>3</v>
      </c>
      <c r="R34" s="6" t="n">
        <v>3</v>
      </c>
      <c r="S34" s="6" t="n">
        <v>0</v>
      </c>
      <c r="T34" s="6" t="n">
        <v>0</v>
      </c>
      <c r="U34" s="6" t="n">
        <v>0</v>
      </c>
      <c r="V34" s="6" t="inlineStr"/>
    </row>
    <row r="35">
      <c r="A35" s="6" t="inlineStr">
        <is>
          <t>NY</t>
        </is>
      </c>
      <c r="B35" s="6" t="inlineStr">
        <is>
          <t>New York</t>
        </is>
      </c>
      <c r="C35" s="6" t="n">
        <v>45</v>
      </c>
      <c r="D35" s="6" t="inlineStr">
        <is>
          <t>High</t>
        </is>
      </c>
      <c r="E35" s="6" t="n">
        <v>10</v>
      </c>
      <c r="F35" s="6" t="n">
        <v>42</v>
      </c>
      <c r="G35" s="6" t="n">
        <v>3</v>
      </c>
      <c r="H35" s="6" t="n">
        <v>1</v>
      </c>
      <c r="I35" s="6" t="n">
        <v>0</v>
      </c>
      <c r="J35" s="6" t="n">
        <v>0</v>
      </c>
      <c r="K35" s="6" t="n">
        <v>3</v>
      </c>
      <c r="L35" s="6" t="n">
        <v>3</v>
      </c>
      <c r="M35" s="6" t="n">
        <v>3</v>
      </c>
      <c r="N35" s="6" t="n">
        <v>0</v>
      </c>
      <c r="O35" s="6" t="n">
        <v>3</v>
      </c>
      <c r="P35" s="6" t="n">
        <v>0</v>
      </c>
      <c r="Q35" s="6" t="n">
        <v>0</v>
      </c>
      <c r="R35" s="6" t="n">
        <v>0</v>
      </c>
      <c r="S35" s="6" t="n">
        <v>0</v>
      </c>
      <c r="T35" s="6" t="n">
        <v>0</v>
      </c>
      <c r="U35" s="6" t="n">
        <v>0</v>
      </c>
      <c r="V35" s="6" t="inlineStr">
        <is>
          <t>Yes</t>
        </is>
      </c>
    </row>
    <row r="36">
      <c r="A36" s="6" t="inlineStr">
        <is>
          <t>OH</t>
        </is>
      </c>
      <c r="B36" s="6" t="inlineStr">
        <is>
          <t>Ohio</t>
        </is>
      </c>
      <c r="C36" s="6" t="n">
        <v>46</v>
      </c>
      <c r="D36" s="6" t="inlineStr">
        <is>
          <t>High</t>
        </is>
      </c>
      <c r="E36" s="6" t="n">
        <v>8</v>
      </c>
      <c r="F36" s="6" t="n">
        <v>42</v>
      </c>
      <c r="G36" s="6" t="n">
        <v>4</v>
      </c>
      <c r="H36" s="6" t="n">
        <v>1</v>
      </c>
      <c r="I36" s="6" t="n">
        <v>0</v>
      </c>
      <c r="J36" s="6" t="n">
        <v>0</v>
      </c>
      <c r="K36" s="6" t="n">
        <v>3</v>
      </c>
      <c r="L36" s="6" t="n">
        <v>3</v>
      </c>
      <c r="M36" s="6" t="n">
        <v>3</v>
      </c>
      <c r="N36" s="6" t="n">
        <v>0</v>
      </c>
      <c r="O36" s="6" t="n">
        <v>0</v>
      </c>
      <c r="P36" s="6" t="n">
        <v>0</v>
      </c>
      <c r="Q36" s="6" t="n">
        <v>0</v>
      </c>
      <c r="R36" s="6" t="n">
        <v>0</v>
      </c>
      <c r="S36" s="6" t="n">
        <v>0</v>
      </c>
      <c r="T36" s="6" t="n">
        <v>0</v>
      </c>
      <c r="U36" s="6" t="n">
        <v>3</v>
      </c>
      <c r="V36" s="6" t="inlineStr"/>
    </row>
    <row r="37">
      <c r="A37" s="6" t="inlineStr">
        <is>
          <t>OK</t>
        </is>
      </c>
      <c r="B37" s="6" t="inlineStr">
        <is>
          <t>Oklahoma</t>
        </is>
      </c>
      <c r="C37" s="6" t="n">
        <v>33</v>
      </c>
      <c r="D37" s="6" t="inlineStr">
        <is>
          <t>Elevated</t>
        </is>
      </c>
      <c r="E37" s="6" t="n">
        <v>27</v>
      </c>
      <c r="F37" s="6" t="n">
        <v>30</v>
      </c>
      <c r="G37" s="6" t="n">
        <v>3</v>
      </c>
      <c r="H37" s="6" t="n">
        <v>1</v>
      </c>
      <c r="I37" s="6" t="n">
        <v>0</v>
      </c>
      <c r="J37" s="6" t="n">
        <v>0</v>
      </c>
      <c r="K37" s="6" t="n">
        <v>0</v>
      </c>
      <c r="L37" s="6" t="n">
        <v>3</v>
      </c>
      <c r="M37" s="6" t="n">
        <v>3</v>
      </c>
      <c r="N37" s="6" t="n">
        <v>0</v>
      </c>
      <c r="O37" s="6" t="n">
        <v>0</v>
      </c>
      <c r="P37" s="6" t="n">
        <v>3</v>
      </c>
      <c r="Q37" s="6" t="n">
        <v>0</v>
      </c>
      <c r="R37" s="6" t="n">
        <v>0</v>
      </c>
      <c r="S37" s="6" t="n">
        <v>0</v>
      </c>
      <c r="T37" s="6" t="n">
        <v>0</v>
      </c>
      <c r="U37" s="6" t="n">
        <v>0</v>
      </c>
      <c r="V37" s="6" t="inlineStr"/>
    </row>
    <row r="38">
      <c r="A38" s="6" t="inlineStr">
        <is>
          <t>OR</t>
        </is>
      </c>
      <c r="B38" s="6" t="inlineStr">
        <is>
          <t>Oregon</t>
        </is>
      </c>
      <c r="C38" s="6" t="n">
        <v>29</v>
      </c>
      <c r="D38" s="6" t="inlineStr">
        <is>
          <t>Moderate</t>
        </is>
      </c>
      <c r="E38" s="6" t="n">
        <v>37</v>
      </c>
      <c r="F38" s="6" t="n">
        <v>27</v>
      </c>
      <c r="G38" s="6" t="n">
        <v>2</v>
      </c>
      <c r="H38" s="6" t="n">
        <v>1</v>
      </c>
      <c r="I38" s="6" t="n">
        <v>0</v>
      </c>
      <c r="J38" s="6" t="n">
        <v>0</v>
      </c>
      <c r="K38" s="6" t="n">
        <v>3</v>
      </c>
      <c r="L38" s="6" t="n">
        <v>3</v>
      </c>
      <c r="M38" s="6" t="n">
        <v>0</v>
      </c>
      <c r="N38" s="6" t="n">
        <v>0</v>
      </c>
      <c r="O38" s="6" t="n">
        <v>0</v>
      </c>
      <c r="P38" s="6" t="n">
        <v>0</v>
      </c>
      <c r="Q38" s="6" t="n">
        <v>2</v>
      </c>
      <c r="R38" s="6" t="n">
        <v>0</v>
      </c>
      <c r="S38" s="6" t="n">
        <v>0</v>
      </c>
      <c r="T38" s="6" t="n">
        <v>0</v>
      </c>
      <c r="U38" s="6" t="n">
        <v>0</v>
      </c>
      <c r="V38" s="6" t="inlineStr"/>
    </row>
    <row r="39">
      <c r="A39" s="6" t="inlineStr">
        <is>
          <t>PA</t>
        </is>
      </c>
      <c r="B39" s="6" t="inlineStr">
        <is>
          <t>Pennsylvania</t>
        </is>
      </c>
      <c r="C39" s="6" t="n">
        <v>40</v>
      </c>
      <c r="D39" s="6" t="inlineStr">
        <is>
          <t>High</t>
        </is>
      </c>
      <c r="E39" s="6" t="n">
        <v>18</v>
      </c>
      <c r="F39" s="6" t="n">
        <v>37</v>
      </c>
      <c r="G39" s="6" t="n">
        <v>3</v>
      </c>
      <c r="H39" s="6" t="n">
        <v>2</v>
      </c>
      <c r="I39" s="6" t="n">
        <v>0</v>
      </c>
      <c r="J39" s="6" t="n">
        <v>0</v>
      </c>
      <c r="K39" s="6" t="n">
        <v>0</v>
      </c>
      <c r="L39" s="6" t="n">
        <v>3</v>
      </c>
      <c r="M39" s="6" t="n">
        <v>3</v>
      </c>
      <c r="N39" s="6" t="n">
        <v>0</v>
      </c>
      <c r="O39" s="6" t="n">
        <v>0</v>
      </c>
      <c r="P39" s="6" t="n">
        <v>3</v>
      </c>
      <c r="Q39" s="6" t="n">
        <v>0</v>
      </c>
      <c r="R39" s="6" t="n">
        <v>0</v>
      </c>
      <c r="S39" s="6" t="n">
        <v>0</v>
      </c>
      <c r="T39" s="6" t="n">
        <v>0</v>
      </c>
      <c r="U39" s="6" t="n">
        <v>0</v>
      </c>
      <c r="V39" s="6" t="inlineStr"/>
    </row>
    <row r="40">
      <c r="A40" s="6" t="inlineStr">
        <is>
          <t>RI</t>
        </is>
      </c>
      <c r="B40" s="6" t="inlineStr">
        <is>
          <t>Rhode Island</t>
        </is>
      </c>
      <c r="C40" s="6" t="n">
        <v>25</v>
      </c>
      <c r="D40" s="6" t="inlineStr">
        <is>
          <t>Moderate</t>
        </is>
      </c>
      <c r="E40" s="6" t="n">
        <v>40</v>
      </c>
      <c r="F40" s="6" t="n">
        <v>19</v>
      </c>
      <c r="G40" s="6" t="n">
        <v>6</v>
      </c>
      <c r="H40" s="6" t="n">
        <v>1</v>
      </c>
      <c r="I40" s="6" t="n">
        <v>0</v>
      </c>
      <c r="J40" s="6" t="n">
        <v>0</v>
      </c>
      <c r="K40" s="6" t="n">
        <v>3</v>
      </c>
      <c r="L40" s="6" t="n">
        <v>0</v>
      </c>
      <c r="M40" s="6" t="n">
        <v>0</v>
      </c>
      <c r="N40" s="6" t="n">
        <v>0</v>
      </c>
      <c r="O40" s="6" t="n">
        <v>0</v>
      </c>
      <c r="P40" s="6" t="n">
        <v>3</v>
      </c>
      <c r="Q40" s="6" t="n">
        <v>3</v>
      </c>
      <c r="R40" s="6" t="n">
        <v>0</v>
      </c>
      <c r="S40" s="6" t="n">
        <v>0</v>
      </c>
      <c r="T40" s="6" t="n">
        <v>0</v>
      </c>
      <c r="U40" s="6" t="n">
        <v>0</v>
      </c>
      <c r="V40" s="6" t="inlineStr">
        <is>
          <t>Yes</t>
        </is>
      </c>
    </row>
    <row r="41">
      <c r="A41" s="6" t="inlineStr">
        <is>
          <t>SC</t>
        </is>
      </c>
      <c r="B41" s="6" t="inlineStr">
        <is>
          <t>South Carolina</t>
        </is>
      </c>
      <c r="C41" s="6" t="n">
        <v>30</v>
      </c>
      <c r="D41" s="6" t="inlineStr">
        <is>
          <t>Elevated</t>
        </is>
      </c>
      <c r="E41" s="6" t="n">
        <v>34</v>
      </c>
      <c r="F41" s="6" t="n">
        <v>27</v>
      </c>
      <c r="G41" s="6" t="n">
        <v>3</v>
      </c>
      <c r="H41" s="6" t="n">
        <v>1</v>
      </c>
      <c r="I41" s="6" t="n">
        <v>0</v>
      </c>
      <c r="J41" s="6" t="n">
        <v>0</v>
      </c>
      <c r="K41" s="6" t="n">
        <v>3</v>
      </c>
      <c r="L41" s="6" t="n">
        <v>3</v>
      </c>
      <c r="M41" s="6" t="n">
        <v>0</v>
      </c>
      <c r="N41" s="6" t="n">
        <v>0</v>
      </c>
      <c r="O41" s="6" t="n">
        <v>0</v>
      </c>
      <c r="P41" s="6" t="n">
        <v>0</v>
      </c>
      <c r="Q41" s="6" t="n">
        <v>0</v>
      </c>
      <c r="R41" s="6" t="n">
        <v>0</v>
      </c>
      <c r="S41" s="6" t="n">
        <v>3</v>
      </c>
      <c r="T41" s="6" t="n">
        <v>0</v>
      </c>
      <c r="U41" s="6" t="n">
        <v>0</v>
      </c>
      <c r="V41" s="6" t="inlineStr"/>
    </row>
    <row r="42">
      <c r="A42" s="6" t="inlineStr">
        <is>
          <t>SD</t>
        </is>
      </c>
      <c r="B42" s="6" t="inlineStr">
        <is>
          <t>South Dakota</t>
        </is>
      </c>
      <c r="C42" s="6" t="n">
        <v>27</v>
      </c>
      <c r="D42" s="6" t="inlineStr">
        <is>
          <t>Moderate</t>
        </is>
      </c>
      <c r="E42" s="6" t="n">
        <v>39</v>
      </c>
      <c r="F42" s="6" t="n">
        <v>27</v>
      </c>
      <c r="G42" s="6" t="n">
        <v>0</v>
      </c>
      <c r="H42" s="6" t="n">
        <v>1</v>
      </c>
      <c r="I42" s="6" t="n">
        <v>0</v>
      </c>
      <c r="J42" s="6" t="n">
        <v>0</v>
      </c>
      <c r="K42" s="6" t="n">
        <v>3</v>
      </c>
      <c r="L42" s="6" t="n">
        <v>3</v>
      </c>
      <c r="M42" s="6" t="n">
        <v>0</v>
      </c>
      <c r="N42" s="6" t="n">
        <v>0</v>
      </c>
      <c r="O42" s="6" t="n">
        <v>0</v>
      </c>
      <c r="P42" s="6" t="n">
        <v>0</v>
      </c>
      <c r="Q42" s="6" t="n">
        <v>0</v>
      </c>
      <c r="R42" s="6" t="n">
        <v>0</v>
      </c>
      <c r="S42" s="6" t="n">
        <v>0</v>
      </c>
      <c r="T42" s="6" t="n">
        <v>0</v>
      </c>
      <c r="U42" s="6" t="n">
        <v>0</v>
      </c>
      <c r="V42" s="6" t="inlineStr"/>
    </row>
    <row r="43">
      <c r="A43" s="6" t="inlineStr">
        <is>
          <t>TN</t>
        </is>
      </c>
      <c r="B43" s="6" t="inlineStr">
        <is>
          <t>Tennessee</t>
        </is>
      </c>
      <c r="C43" s="6" t="n">
        <v>7</v>
      </c>
      <c r="D43" s="6" t="inlineStr">
        <is>
          <t>Low</t>
        </is>
      </c>
      <c r="E43" s="6" t="n">
        <v>48</v>
      </c>
      <c r="F43" s="6" t="n">
        <v>7</v>
      </c>
      <c r="G43" s="6" t="n">
        <v>0</v>
      </c>
      <c r="H43" s="6" t="n">
        <v>1</v>
      </c>
      <c r="I43" s="6" t="n">
        <v>0</v>
      </c>
      <c r="J43" s="6" t="n">
        <v>0</v>
      </c>
      <c r="K43" s="6" t="n">
        <v>0</v>
      </c>
      <c r="L43" s="6" t="n">
        <v>0</v>
      </c>
      <c r="M43" s="6" t="n">
        <v>0</v>
      </c>
      <c r="N43" s="6" t="n">
        <v>0</v>
      </c>
      <c r="O43" s="6" t="n">
        <v>0</v>
      </c>
      <c r="P43" s="6" t="n">
        <v>0</v>
      </c>
      <c r="Q43" s="6" t="n">
        <v>0</v>
      </c>
      <c r="R43" s="6" t="n">
        <v>0</v>
      </c>
      <c r="S43" s="6" t="n">
        <v>0</v>
      </c>
      <c r="T43" s="6" t="n">
        <v>0</v>
      </c>
      <c r="U43" s="6" t="n">
        <v>0</v>
      </c>
      <c r="V43" s="6" t="inlineStr"/>
    </row>
    <row r="44">
      <c r="A44" s="6" t="inlineStr">
        <is>
          <t>TX</t>
        </is>
      </c>
      <c r="B44" s="6" t="inlineStr">
        <is>
          <t>Texas</t>
        </is>
      </c>
      <c r="C44" s="6" t="n">
        <v>15</v>
      </c>
      <c r="D44" s="6" t="inlineStr">
        <is>
          <t>Low</t>
        </is>
      </c>
      <c r="E44" s="6" t="n">
        <v>45</v>
      </c>
      <c r="F44" s="6" t="n">
        <v>15</v>
      </c>
      <c r="G44" s="6" t="n">
        <v>0</v>
      </c>
      <c r="H44" s="6" t="n">
        <v>1</v>
      </c>
      <c r="I44" s="6" t="n">
        <v>0</v>
      </c>
      <c r="J44" s="6" t="n">
        <v>0</v>
      </c>
      <c r="K44" s="6" t="n">
        <v>0</v>
      </c>
      <c r="L44" s="6" t="n">
        <v>3</v>
      </c>
      <c r="M44" s="6" t="n">
        <v>0</v>
      </c>
      <c r="N44" s="6" t="n">
        <v>0</v>
      </c>
      <c r="O44" s="6" t="n">
        <v>0</v>
      </c>
      <c r="P44" s="6" t="n">
        <v>0</v>
      </c>
      <c r="Q44" s="6" t="n">
        <v>0</v>
      </c>
      <c r="R44" s="6" t="n">
        <v>0</v>
      </c>
      <c r="S44" s="6" t="n">
        <v>0</v>
      </c>
      <c r="T44" s="6" t="n">
        <v>0</v>
      </c>
      <c r="U44" s="6" t="n">
        <v>0</v>
      </c>
      <c r="V44" s="6" t="inlineStr"/>
    </row>
    <row r="45">
      <c r="A45" s="6" t="inlineStr">
        <is>
          <t>UT</t>
        </is>
      </c>
      <c r="B45" s="6" t="inlineStr">
        <is>
          <t>Utah</t>
        </is>
      </c>
      <c r="C45" s="6" t="n">
        <v>76</v>
      </c>
      <c r="D45" s="6" t="inlineStr">
        <is>
          <t>Very high</t>
        </is>
      </c>
      <c r="E45" s="6" t="n">
        <v>1</v>
      </c>
      <c r="F45" s="6" t="n">
        <v>71</v>
      </c>
      <c r="G45" s="6" t="n">
        <v>5</v>
      </c>
      <c r="H45" s="6" t="n">
        <v>3</v>
      </c>
      <c r="I45" s="6" t="n">
        <v>3</v>
      </c>
      <c r="J45" s="6" t="n">
        <v>0</v>
      </c>
      <c r="K45" s="6" t="n">
        <v>3</v>
      </c>
      <c r="L45" s="6" t="n">
        <v>3</v>
      </c>
      <c r="M45" s="6" t="n">
        <v>3</v>
      </c>
      <c r="N45" s="6" t="n">
        <v>0</v>
      </c>
      <c r="O45" s="6" t="n">
        <v>0</v>
      </c>
      <c r="P45" s="6" t="n">
        <v>3</v>
      </c>
      <c r="Q45" s="6" t="n">
        <v>2</v>
      </c>
      <c r="R45" s="6" t="n">
        <v>0</v>
      </c>
      <c r="S45" s="6" t="n">
        <v>0</v>
      </c>
      <c r="T45" s="6" t="n">
        <v>0</v>
      </c>
      <c r="U45" s="6" t="n">
        <v>0</v>
      </c>
      <c r="V45" s="6" t="inlineStr"/>
    </row>
    <row r="46">
      <c r="A46" s="6" t="inlineStr">
        <is>
          <t>VA</t>
        </is>
      </c>
      <c r="B46" s="6" t="inlineStr">
        <is>
          <t>Virginia</t>
        </is>
      </c>
      <c r="C46" s="6" t="n">
        <v>56</v>
      </c>
      <c r="D46" s="6" t="inlineStr">
        <is>
          <t>Very high</t>
        </is>
      </c>
      <c r="E46" s="6" t="n">
        <v>4</v>
      </c>
      <c r="F46" s="6" t="n">
        <v>56</v>
      </c>
      <c r="G46" s="6" t="n">
        <v>0</v>
      </c>
      <c r="H46" s="6" t="n">
        <v>3</v>
      </c>
      <c r="I46" s="6" t="n">
        <v>0</v>
      </c>
      <c r="J46" s="6" t="n">
        <v>0</v>
      </c>
      <c r="K46" s="6" t="n">
        <v>3</v>
      </c>
      <c r="L46" s="6" t="n">
        <v>3</v>
      </c>
      <c r="M46" s="6" t="n">
        <v>3</v>
      </c>
      <c r="N46" s="6" t="n">
        <v>0</v>
      </c>
      <c r="O46" s="6" t="n">
        <v>0</v>
      </c>
      <c r="P46" s="6" t="n">
        <v>0</v>
      </c>
      <c r="Q46" s="6" t="n">
        <v>0</v>
      </c>
      <c r="R46" s="6" t="n">
        <v>0</v>
      </c>
      <c r="S46" s="6" t="n">
        <v>0</v>
      </c>
      <c r="T46" s="6" t="n">
        <v>0</v>
      </c>
      <c r="U46" s="6" t="n">
        <v>0</v>
      </c>
      <c r="V46" s="6" t="inlineStr"/>
    </row>
    <row r="47">
      <c r="A47" s="6" t="inlineStr">
        <is>
          <t>VT</t>
        </is>
      </c>
      <c r="B47" s="6" t="inlineStr">
        <is>
          <t>Vermont</t>
        </is>
      </c>
      <c r="C47" s="6" t="n">
        <v>30</v>
      </c>
      <c r="D47" s="6" t="inlineStr">
        <is>
          <t>Elevated</t>
        </is>
      </c>
      <c r="E47" s="6" t="n">
        <v>35</v>
      </c>
      <c r="F47" s="6" t="n">
        <v>30</v>
      </c>
      <c r="G47" s="6" t="n">
        <v>0</v>
      </c>
      <c r="H47" s="6" t="n">
        <v>1</v>
      </c>
      <c r="I47" s="6" t="n">
        <v>0</v>
      </c>
      <c r="J47" s="6" t="n">
        <v>0</v>
      </c>
      <c r="K47" s="6" t="n">
        <v>0</v>
      </c>
      <c r="L47" s="6" t="n">
        <v>3</v>
      </c>
      <c r="M47" s="6" t="n">
        <v>3</v>
      </c>
      <c r="N47" s="6" t="n">
        <v>0</v>
      </c>
      <c r="O47" s="6" t="n">
        <v>0</v>
      </c>
      <c r="P47" s="6" t="n">
        <v>0</v>
      </c>
      <c r="Q47" s="6" t="n">
        <v>0</v>
      </c>
      <c r="R47" s="6" t="n">
        <v>0</v>
      </c>
      <c r="S47" s="6" t="n">
        <v>0</v>
      </c>
      <c r="T47" s="6" t="n">
        <v>0</v>
      </c>
      <c r="U47" s="6" t="n">
        <v>0</v>
      </c>
      <c r="V47" s="6" t="inlineStr">
        <is>
          <t>Yes</t>
        </is>
      </c>
    </row>
    <row r="48">
      <c r="A48" s="6" t="inlineStr">
        <is>
          <t>WA</t>
        </is>
      </c>
      <c r="B48" s="6" t="inlineStr">
        <is>
          <t>Washington</t>
        </is>
      </c>
      <c r="C48" s="6" t="n">
        <v>14</v>
      </c>
      <c r="D48" s="6" t="inlineStr">
        <is>
          <t>Low</t>
        </is>
      </c>
      <c r="E48" s="6" t="n">
        <v>46</v>
      </c>
      <c r="F48" s="6" t="n">
        <v>14</v>
      </c>
      <c r="G48" s="6" t="n">
        <v>0</v>
      </c>
      <c r="H48" s="6" t="n">
        <v>2</v>
      </c>
      <c r="I48" s="6" t="n">
        <v>0</v>
      </c>
      <c r="J48" s="6" t="n">
        <v>0</v>
      </c>
      <c r="K48" s="6" t="n">
        <v>0</v>
      </c>
      <c r="L48" s="6" t="n">
        <v>0</v>
      </c>
      <c r="M48" s="6" t="n">
        <v>0</v>
      </c>
      <c r="N48" s="6" t="n">
        <v>0</v>
      </c>
      <c r="O48" s="6" t="n">
        <v>0</v>
      </c>
      <c r="P48" s="6" t="n">
        <v>0</v>
      </c>
      <c r="Q48" s="6" t="n">
        <v>0</v>
      </c>
      <c r="R48" s="6" t="n">
        <v>0</v>
      </c>
      <c r="S48" s="6" t="n">
        <v>0</v>
      </c>
      <c r="T48" s="6" t="n">
        <v>0</v>
      </c>
      <c r="U48" s="6" t="n">
        <v>0</v>
      </c>
      <c r="V48" s="6" t="inlineStr"/>
    </row>
    <row r="49">
      <c r="A49" s="6" t="inlineStr">
        <is>
          <t>WI</t>
        </is>
      </c>
      <c r="B49" s="6" t="inlineStr">
        <is>
          <t>Wisconsin</t>
        </is>
      </c>
      <c r="C49" s="6" t="n">
        <v>7</v>
      </c>
      <c r="D49" s="6" t="inlineStr">
        <is>
          <t>Low</t>
        </is>
      </c>
      <c r="E49" s="6" t="n">
        <v>49</v>
      </c>
      <c r="F49" s="6" t="n">
        <v>7</v>
      </c>
      <c r="G49" s="6" t="n">
        <v>0</v>
      </c>
      <c r="H49" s="6" t="n">
        <v>1</v>
      </c>
      <c r="I49" s="6" t="n">
        <v>0</v>
      </c>
      <c r="J49" s="6" t="n">
        <v>0</v>
      </c>
      <c r="K49" s="6" t="n">
        <v>0</v>
      </c>
      <c r="L49" s="6" t="n">
        <v>0</v>
      </c>
      <c r="M49" s="6" t="n">
        <v>0</v>
      </c>
      <c r="N49" s="6" t="n">
        <v>0</v>
      </c>
      <c r="O49" s="6" t="n">
        <v>0</v>
      </c>
      <c r="P49" s="6" t="n">
        <v>0</v>
      </c>
      <c r="Q49" s="6" t="n">
        <v>0</v>
      </c>
      <c r="R49" s="6" t="n">
        <v>0</v>
      </c>
      <c r="S49" s="6" t="n">
        <v>0</v>
      </c>
      <c r="T49" s="6" t="n">
        <v>0</v>
      </c>
      <c r="U49" s="6" t="n">
        <v>0</v>
      </c>
      <c r="V49" s="6" t="inlineStr"/>
    </row>
    <row r="50">
      <c r="A50" s="6" t="inlineStr">
        <is>
          <t>WV</t>
        </is>
      </c>
      <c r="B50" s="6" t="inlineStr">
        <is>
          <t>West Virginia</t>
        </is>
      </c>
      <c r="C50" s="6" t="n">
        <v>33</v>
      </c>
      <c r="D50" s="6" t="inlineStr">
        <is>
          <t>Elevated</t>
        </is>
      </c>
      <c r="E50" s="6" t="n">
        <v>28</v>
      </c>
      <c r="F50" s="6" t="n">
        <v>27</v>
      </c>
      <c r="G50" s="6" t="n">
        <v>6</v>
      </c>
      <c r="H50" s="6" t="n">
        <v>1</v>
      </c>
      <c r="I50" s="6" t="n">
        <v>0</v>
      </c>
      <c r="J50" s="6" t="n">
        <v>0</v>
      </c>
      <c r="K50" s="6" t="n">
        <v>3</v>
      </c>
      <c r="L50" s="6" t="n">
        <v>3</v>
      </c>
      <c r="M50" s="6" t="n">
        <v>0</v>
      </c>
      <c r="N50" s="6" t="n">
        <v>0</v>
      </c>
      <c r="O50" s="6" t="n">
        <v>0</v>
      </c>
      <c r="P50" s="6" t="n">
        <v>0</v>
      </c>
      <c r="Q50" s="6" t="n">
        <v>2</v>
      </c>
      <c r="R50" s="6" t="n">
        <v>0</v>
      </c>
      <c r="S50" s="6" t="n">
        <v>0</v>
      </c>
      <c r="T50" s="6" t="n">
        <v>0</v>
      </c>
      <c r="U50" s="6" t="n">
        <v>3</v>
      </c>
      <c r="V50" s="6" t="inlineStr"/>
    </row>
    <row r="51">
      <c r="A51" s="6" t="inlineStr">
        <is>
          <t>WY</t>
        </is>
      </c>
      <c r="B51" s="6" t="inlineStr">
        <is>
          <t>Wyoming</t>
        </is>
      </c>
      <c r="C51" s="6" t="n">
        <v>7</v>
      </c>
      <c r="D51" s="6" t="inlineStr">
        <is>
          <t>Low</t>
        </is>
      </c>
      <c r="E51" s="6" t="n">
        <v>50</v>
      </c>
      <c r="F51" s="6" t="n">
        <v>7</v>
      </c>
      <c r="G51" s="6" t="n">
        <v>0</v>
      </c>
      <c r="H51" s="6" t="n">
        <v>1</v>
      </c>
      <c r="I51" s="6" t="n">
        <v>0</v>
      </c>
      <c r="J51" s="6" t="n">
        <v>0</v>
      </c>
      <c r="K51" s="6" t="n">
        <v>0</v>
      </c>
      <c r="L51" s="6" t="n">
        <v>0</v>
      </c>
      <c r="M51" s="6" t="n">
        <v>0</v>
      </c>
      <c r="N51" s="6" t="n">
        <v>0</v>
      </c>
      <c r="O51" s="6" t="n">
        <v>0</v>
      </c>
      <c r="P51" s="6" t="n">
        <v>0</v>
      </c>
      <c r="Q51" s="6" t="n">
        <v>0</v>
      </c>
      <c r="R51" s="6" t="n">
        <v>0</v>
      </c>
      <c r="S51" s="6" t="n">
        <v>0</v>
      </c>
      <c r="T51" s="6" t="n">
        <v>0</v>
      </c>
      <c r="U51" s="6" t="n">
        <v>0</v>
      </c>
      <c r="V51" s="6" t="inlineStr"/>
    </row>
    <row r="53">
      <c r="A53" s="5" t="inlineStr">
        <is>
          <t>How the audit climate score is built (higher = more restrictive; statute and agency-rule text, not legal advice)</t>
        </is>
      </c>
    </row>
    <row r="54">
      <c r="A54" s="7" t="inlineStr">
        <is>
          <t>Points = weight × level ÷ 3. Score = sum of points (0–100). Weights are a judgment call about how much each limit constrains audits and chargebacks, and are a draft that may change. Levels are read from the statute text and, where a state agency rule sets the limit, from that rule. The score measures how strict the law is, not how likely an audit dispute is.</t>
        </is>
      </c>
    </row>
    <row r="55">
      <c r="A55" s="7" t="inlineStr">
        <is>
          <t>Short audit and chargeback lookback (weight 21; How far back and how much can be charged back): level 0: No limit in statute, or over 12 months; level 1: 12 months; level 2: 9 months; level 3: 6 months or less</t>
        </is>
      </c>
    </row>
    <row r="56">
      <c r="A56" s="7" t="inlineStr">
        <is>
          <t>Limits on extrapolating audit results (weight 15; How far back and how much can be charged back): level 0: Not addressed; level 2: Restricted (e.g., only from a valid random sample); level 3: Prohibited</t>
        </is>
      </c>
    </row>
    <row r="57">
      <c r="A57" s="7" t="inlineStr">
        <is>
          <t>No fraud carve-out from the time limit (weight 4; How far back and how much can be charged back): level 0: Fraud is excepted, or not stated; level 3: The time limit applies even to suspected fraud</t>
        </is>
      </c>
    </row>
    <row r="58">
      <c r="A58" s="7" t="inlineStr">
        <is>
          <t>No chargebacks for clerical or paperwork errors (weight 12; What counts as a valid chargeback): level 0: Not in statute; level 3: Applies</t>
        </is>
      </c>
    </row>
    <row r="59">
      <c r="A59" s="7" t="inlineStr">
        <is>
          <t>Limits on documentation requirements (weight 8; What counts as a valid chargeback): level 0: Not in statute; level 3: Applies</t>
        </is>
      </c>
    </row>
    <row r="60">
      <c r="A60" s="7" t="inlineStr">
        <is>
          <t>Chargeback held while the dealer appeals (weight 15; When a chargeback can be collected): level 0: Not in statute; level 3: Applies</t>
        </is>
      </c>
    </row>
    <row r="61">
      <c r="A61" s="7" t="inlineStr">
        <is>
          <t>Advance written notice of audit (weight 3; Audit process steps): level 0: Not in statute; level 3: Applies</t>
        </is>
      </c>
    </row>
    <row r="62">
      <c r="A62" s="7" t="inlineStr">
        <is>
          <t>Must tell the dealer why it was selected (weight 3; Audit process steps): level 0: Not in statute; level 3: Applies</t>
        </is>
      </c>
    </row>
    <row r="63">
      <c r="A63" s="7" t="inlineStr">
        <is>
          <t>Written reasons required before a chargeback (weight 3; Audit process steps): level 0: Not in statute; level 3: Applies</t>
        </is>
      </c>
    </row>
    <row r="64">
      <c r="A64" s="7" t="inlineStr">
        <is>
          <t>Dealer response or cure period (weight 3; Audit process steps): level 0: None in statute; level 1: Under 30 days; level 2: 30 to 59 days; level 3: 60 days or more</t>
        </is>
      </c>
    </row>
    <row r="65">
      <c r="A65" s="7" t="inlineStr">
        <is>
          <t>Internal appeal required (weight 3; Audit process steps): level 0: Not in statute; level 3: Applies</t>
        </is>
      </c>
    </row>
    <row r="66">
      <c r="A66" s="7" t="inlineStr">
        <is>
          <t>Cap on how often audits can occur (weight 3; Audit process steps): level 0: No cap in statute; level 2: Cap allows more than one audit a year (e.g., one per 9 months); level 3: At most one audit per 12 months</t>
        </is>
      </c>
    </row>
    <row r="67">
      <c r="A67" s="7" t="inlineStr">
        <is>
          <t>Rate validation limited to the dealer's submission (weight 3; Rate validation and consequences): level 0: Not limited in statute; level 3: Only the dealer's own ROs or a single accuracy objection</t>
        </is>
      </c>
    </row>
    <row r="68">
      <c r="A68" s="7" t="inlineStr">
        <is>
          <t>Tiers: Very high 50+; High 40–49; Elevated 30–39; Moderate 20–29; Low under 20</t>
        </is>
      </c>
    </row>
  </sheetData>
  <autoFilter ref="A1:V5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2026-10-23T17:20:40Z</dcterms:created>
  <dcterms:modified xmlns:dcterms="http://purl.org/dc/terms/" xmlns:xsi="http://www.w3.org/2001/XMLSchema-instance" xsi:type="dcterms:W3CDTF">2026-10-23T17:20:41Z</dcterms:modified>
</cp:coreProperties>
</file>